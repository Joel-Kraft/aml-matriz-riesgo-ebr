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Users\Usuario\Desktop\Data_Project\aml-matriz-riesgo-ebr\matriz\"/>
    </mc:Choice>
  </mc:AlternateContent>
  <xr:revisionPtr revIDLastSave="0" documentId="13_ncr:1_{066B0BD9-21A1-4C5C-B76B-A88F2CDC0C43}" xr6:coauthVersionLast="47" xr6:coauthVersionMax="47" xr10:uidLastSave="{00000000-0000-0000-0000-000000000000}"/>
  <bookViews>
    <workbookView xWindow="0" yWindow="360" windowWidth="19440" windowHeight="10320" xr2:uid="{89C5F5AD-FD8E-4DD9-8AE6-A5F07D5DA0F4}"/>
  </bookViews>
  <sheets>
    <sheet name="MATRIZ_CLIENTES" sheetId="1" r:id="rId1"/>
    <sheet name="ESCALA_PUNTAJE" sheetId="3" r:id="rId2"/>
    <sheet name="RESUMEN_CARTERA" sheetId="2" r:id="rId3"/>
    <sheet name="Graficos" sheetId="5" state="hidden" r:id="rId4"/>
  </sheets>
  <definedNames>
    <definedName name="Slicer_CANAL_VINCULACION">#N/A</definedName>
    <definedName name="Slicer_TIPO_PERSONA">#N/A</definedName>
  </definedNames>
  <calcPr calcId="191029"/>
  <pivotCaches>
    <pivotCache cacheId="25"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52" i="2" l="1"/>
  <c r="AK49" i="2"/>
  <c r="AK46" i="2"/>
  <c r="AK43" i="2"/>
  <c r="AK40" i="2"/>
  <c r="AK37" i="2"/>
  <c r="AK34" i="2"/>
  <c r="AK31" i="2"/>
  <c r="AK28" i="2"/>
  <c r="AK25" i="2"/>
  <c r="AE34" i="2"/>
  <c r="AE52" i="2"/>
  <c r="AE49" i="2"/>
  <c r="AE46" i="2"/>
  <c r="AE43" i="2"/>
  <c r="AE40" i="2"/>
  <c r="AE37" i="2"/>
  <c r="AE31" i="2"/>
  <c r="AE28" i="2"/>
  <c r="AE25" i="2"/>
  <c r="AB52" i="2"/>
  <c r="AB49" i="2"/>
  <c r="AB46" i="2"/>
  <c r="AB43" i="2"/>
  <c r="AB40" i="2"/>
  <c r="AB37" i="2"/>
  <c r="AB34" i="2"/>
  <c r="AB31" i="2"/>
  <c r="AB28" i="2"/>
  <c r="AB25" i="2"/>
  <c r="Y52" i="2"/>
  <c r="Y49" i="2"/>
  <c r="Y46" i="2"/>
  <c r="Y43" i="2"/>
  <c r="Y40" i="2"/>
  <c r="Y37" i="2"/>
  <c r="Y34" i="2"/>
  <c r="Y31" i="2"/>
  <c r="Y28" i="2"/>
  <c r="Y25" i="2"/>
  <c r="A2" i="5"/>
  <c r="A5" i="5"/>
  <c r="A8" i="5"/>
  <c r="A11" i="5" l="1"/>
  <c r="H3" i="1" l="1"/>
  <c r="H4" i="1"/>
  <c r="H5" i="1"/>
  <c r="I5" i="1" s="1"/>
  <c r="Q5" i="1" s="1"/>
  <c r="S5" i="1" s="1"/>
  <c r="T5" i="1" s="1"/>
  <c r="H6" i="1"/>
  <c r="H7" i="1"/>
  <c r="I7" i="1" s="1"/>
  <c r="H8" i="1"/>
  <c r="H9" i="1"/>
  <c r="H10" i="1"/>
  <c r="H11" i="1"/>
  <c r="H12" i="1"/>
  <c r="H13" i="1"/>
  <c r="H14" i="1"/>
  <c r="H15" i="1"/>
  <c r="H16" i="1"/>
  <c r="I16" i="1" s="1"/>
  <c r="H17" i="1"/>
  <c r="I17" i="1" s="1"/>
  <c r="H18" i="1"/>
  <c r="I18" i="1" s="1"/>
  <c r="H19" i="1"/>
  <c r="H20" i="1"/>
  <c r="H21" i="1"/>
  <c r="I21" i="1" s="1"/>
  <c r="H22" i="1"/>
  <c r="I22" i="1" s="1"/>
  <c r="H23" i="1"/>
  <c r="I23" i="1" s="1"/>
  <c r="H24" i="1"/>
  <c r="H25" i="1"/>
  <c r="H26" i="1"/>
  <c r="H27" i="1"/>
  <c r="H28" i="1"/>
  <c r="H29" i="1"/>
  <c r="H30" i="1"/>
  <c r="H31" i="1"/>
  <c r="I31" i="1" s="1"/>
  <c r="H32" i="1"/>
  <c r="I32" i="1" s="1"/>
  <c r="H33" i="1"/>
  <c r="I33" i="1" s="1"/>
  <c r="H34" i="1"/>
  <c r="I34" i="1" s="1"/>
  <c r="H35" i="1"/>
  <c r="H36" i="1"/>
  <c r="H37" i="1"/>
  <c r="I37" i="1" s="1"/>
  <c r="H38" i="1"/>
  <c r="I38" i="1" s="1"/>
  <c r="H39" i="1"/>
  <c r="I39" i="1" s="1"/>
  <c r="H40" i="1"/>
  <c r="H41" i="1"/>
  <c r="H42" i="1"/>
  <c r="H43" i="1"/>
  <c r="H44" i="1"/>
  <c r="H45" i="1"/>
  <c r="H46" i="1"/>
  <c r="H47" i="1"/>
  <c r="I47" i="1" s="1"/>
  <c r="H48" i="1"/>
  <c r="I48" i="1" s="1"/>
  <c r="H49" i="1"/>
  <c r="I49" i="1" s="1"/>
  <c r="H50" i="1"/>
  <c r="I50" i="1" s="1"/>
  <c r="H51" i="1"/>
  <c r="H2" i="1"/>
  <c r="I2" i="1" s="1"/>
  <c r="I3" i="1"/>
  <c r="I4" i="1"/>
  <c r="I6" i="1"/>
  <c r="I8" i="1"/>
  <c r="I9" i="1"/>
  <c r="Q9" i="1" s="1"/>
  <c r="S9" i="1" s="1"/>
  <c r="T9" i="1" s="1"/>
  <c r="I10" i="1"/>
  <c r="Q10" i="1" s="1"/>
  <c r="S10" i="1" s="1"/>
  <c r="T10" i="1" s="1"/>
  <c r="I11" i="1"/>
  <c r="Q11" i="1" s="1"/>
  <c r="S11" i="1" s="1"/>
  <c r="T11" i="1" s="1"/>
  <c r="I12" i="1"/>
  <c r="I13" i="1"/>
  <c r="I14" i="1"/>
  <c r="I15" i="1"/>
  <c r="I19" i="1"/>
  <c r="Q19" i="1" s="1"/>
  <c r="I20" i="1"/>
  <c r="Q20" i="1" s="1"/>
  <c r="I24" i="1"/>
  <c r="I25" i="1"/>
  <c r="I26" i="1"/>
  <c r="I27" i="1"/>
  <c r="I28" i="1"/>
  <c r="I29" i="1"/>
  <c r="I30" i="1"/>
  <c r="I35" i="1"/>
  <c r="Q35" i="1" s="1"/>
  <c r="S35" i="1" s="1"/>
  <c r="T35" i="1" s="1"/>
  <c r="I36" i="1"/>
  <c r="Q36" i="1" s="1"/>
  <c r="S36" i="1" s="1"/>
  <c r="T36" i="1" s="1"/>
  <c r="I40" i="1"/>
  <c r="I41" i="1"/>
  <c r="I42" i="1"/>
  <c r="Q42" i="1" s="1"/>
  <c r="S42" i="1" s="1"/>
  <c r="T42" i="1" s="1"/>
  <c r="I43" i="1"/>
  <c r="Q43" i="1" s="1"/>
  <c r="S43" i="1" s="1"/>
  <c r="T43" i="1" s="1"/>
  <c r="I44" i="1"/>
  <c r="I45" i="1"/>
  <c r="I46" i="1"/>
  <c r="I51"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Q41" i="1" s="1"/>
  <c r="S41" i="1" s="1"/>
  <c r="T41" i="1" s="1"/>
  <c r="L42" i="1"/>
  <c r="L43" i="1"/>
  <c r="L44" i="1"/>
  <c r="L45" i="1"/>
  <c r="L46" i="1"/>
  <c r="L47" i="1"/>
  <c r="L48" i="1"/>
  <c r="L49" i="1"/>
  <c r="L50" i="1"/>
  <c r="L51" i="1"/>
  <c r="L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2"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Q3" i="1"/>
  <c r="S3" i="1" s="1"/>
  <c r="T3" i="1" s="1"/>
  <c r="Q4" i="1"/>
  <c r="S4" i="1" s="1"/>
  <c r="T4" i="1" s="1"/>
  <c r="Q24" i="1"/>
  <c r="S24" i="1" s="1"/>
  <c r="T24" i="1" s="1"/>
  <c r="Q40" i="1"/>
  <c r="Q51" i="1"/>
  <c r="S51" i="1" s="1"/>
  <c r="T51" i="1" s="1"/>
  <c r="R3" i="1"/>
  <c r="R4" i="1"/>
  <c r="R5" i="1"/>
  <c r="R6" i="1"/>
  <c r="R7" i="1"/>
  <c r="R8" i="1"/>
  <c r="R9" i="1"/>
  <c r="R10" i="1"/>
  <c r="R11" i="1"/>
  <c r="R12" i="1"/>
  <c r="R13" i="1"/>
  <c r="V13" i="1" s="1"/>
  <c r="R14" i="1"/>
  <c r="V14" i="1" s="1"/>
  <c r="R15" i="1"/>
  <c r="S15" i="1" s="1"/>
  <c r="T15" i="1" s="1"/>
  <c r="R16" i="1"/>
  <c r="R17" i="1"/>
  <c r="R18" i="1"/>
  <c r="R19" i="1"/>
  <c r="R20" i="1"/>
  <c r="R21" i="1"/>
  <c r="R22" i="1"/>
  <c r="R23" i="1"/>
  <c r="R24" i="1"/>
  <c r="R25" i="1"/>
  <c r="R26" i="1"/>
  <c r="R27" i="1"/>
  <c r="R28" i="1"/>
  <c r="R29" i="1"/>
  <c r="V29" i="1" s="1"/>
  <c r="R30" i="1"/>
  <c r="V30" i="1" s="1"/>
  <c r="R31" i="1"/>
  <c r="R32" i="1"/>
  <c r="R33" i="1"/>
  <c r="V33" i="1" s="1"/>
  <c r="R34" i="1"/>
  <c r="R35" i="1"/>
  <c r="R36" i="1"/>
  <c r="R37" i="1"/>
  <c r="R38" i="1"/>
  <c r="R39" i="1"/>
  <c r="R40" i="1"/>
  <c r="R41" i="1"/>
  <c r="R42" i="1"/>
  <c r="R43" i="1"/>
  <c r="R44" i="1"/>
  <c r="R45" i="1"/>
  <c r="V45" i="1" s="1"/>
  <c r="R46" i="1"/>
  <c r="V46" i="1" s="1"/>
  <c r="R47" i="1"/>
  <c r="S47" i="1" s="1"/>
  <c r="T47" i="1" s="1"/>
  <c r="R48" i="1"/>
  <c r="S48" i="1" s="1"/>
  <c r="T48" i="1" s="1"/>
  <c r="R49" i="1"/>
  <c r="V49" i="1" s="1"/>
  <c r="R50" i="1"/>
  <c r="R51" i="1"/>
  <c r="R2" i="1"/>
  <c r="S14" i="1"/>
  <c r="T14" i="1" s="1"/>
  <c r="S19" i="1"/>
  <c r="T19" i="1" s="1"/>
  <c r="S20" i="1"/>
  <c r="T20" i="1" s="1"/>
  <c r="S21" i="1"/>
  <c r="S40" i="1"/>
  <c r="T40" i="1" s="1"/>
  <c r="S44" i="1"/>
  <c r="T44" i="1" s="1"/>
  <c r="S45" i="1"/>
  <c r="T45" i="1" s="1"/>
  <c r="S46" i="1"/>
  <c r="T46" i="1" s="1"/>
  <c r="T21" i="1"/>
  <c r="V3" i="1"/>
  <c r="V4" i="1"/>
  <c r="V5" i="1"/>
  <c r="V6" i="1"/>
  <c r="V7" i="1"/>
  <c r="V8" i="1"/>
  <c r="V9" i="1"/>
  <c r="V10" i="1"/>
  <c r="V11" i="1"/>
  <c r="V12" i="1"/>
  <c r="V19" i="1"/>
  <c r="V20" i="1"/>
  <c r="V21" i="1"/>
  <c r="V22" i="1"/>
  <c r="V23" i="1"/>
  <c r="V24" i="1"/>
  <c r="V25" i="1"/>
  <c r="V26" i="1"/>
  <c r="V27" i="1"/>
  <c r="V28" i="1"/>
  <c r="V35" i="1"/>
  <c r="V36" i="1"/>
  <c r="V37" i="1"/>
  <c r="V38" i="1"/>
  <c r="V39" i="1"/>
  <c r="V40" i="1"/>
  <c r="V41" i="1"/>
  <c r="V42" i="1"/>
  <c r="V43" i="1"/>
  <c r="V44" i="1"/>
  <c r="V51" i="1"/>
  <c r="V2" i="1"/>
  <c r="Q8" i="1" l="1"/>
  <c r="S8" i="1" s="1"/>
  <c r="T8" i="1" s="1"/>
  <c r="Q21" i="1"/>
  <c r="Q27" i="1"/>
  <c r="S27" i="1" s="1"/>
  <c r="T27" i="1" s="1"/>
  <c r="Q26" i="1"/>
  <c r="S26" i="1" s="1"/>
  <c r="T26" i="1" s="1"/>
  <c r="Q25" i="1"/>
  <c r="S25" i="1" s="1"/>
  <c r="T25" i="1" s="1"/>
  <c r="Q39" i="1"/>
  <c r="S39" i="1" s="1"/>
  <c r="T39" i="1" s="1"/>
  <c r="Q23" i="1"/>
  <c r="S23" i="1" s="1"/>
  <c r="T23" i="1" s="1"/>
  <c r="Q38" i="1"/>
  <c r="S38" i="1" s="1"/>
  <c r="T38" i="1" s="1"/>
  <c r="Q22" i="1"/>
  <c r="S22" i="1" s="1"/>
  <c r="T22" i="1" s="1"/>
  <c r="Q37" i="1"/>
  <c r="S37" i="1" s="1"/>
  <c r="T37" i="1" s="1"/>
  <c r="Q14" i="1"/>
  <c r="Q46" i="1"/>
  <c r="Q45" i="1"/>
  <c r="Q29" i="1"/>
  <c r="S29" i="1" s="1"/>
  <c r="T29" i="1" s="1"/>
  <c r="Q13" i="1"/>
  <c r="S13" i="1" s="1"/>
  <c r="T13" i="1" s="1"/>
  <c r="Q49" i="1"/>
  <c r="S49" i="1" s="1"/>
  <c r="T49" i="1" s="1"/>
  <c r="Q30" i="1"/>
  <c r="S30" i="1" s="1"/>
  <c r="T30" i="1" s="1"/>
  <c r="Q44" i="1"/>
  <c r="Q28" i="1"/>
  <c r="S28" i="1" s="1"/>
  <c r="T28" i="1" s="1"/>
  <c r="Q12" i="1"/>
  <c r="S12" i="1" s="1"/>
  <c r="T12" i="1" s="1"/>
  <c r="Q7" i="1"/>
  <c r="S7" i="1" s="1"/>
  <c r="T7" i="1" s="1"/>
  <c r="Q6" i="1"/>
  <c r="S6" i="1" s="1"/>
  <c r="T6" i="1" s="1"/>
  <c r="Q18" i="1"/>
  <c r="S18" i="1" s="1"/>
  <c r="T18" i="1" s="1"/>
  <c r="Q33" i="1"/>
  <c r="Q17" i="1"/>
  <c r="S17" i="1" s="1"/>
  <c r="T17" i="1" s="1"/>
  <c r="Q48" i="1"/>
  <c r="Q32" i="1"/>
  <c r="S32" i="1" s="1"/>
  <c r="T32" i="1" s="1"/>
  <c r="Q16" i="1"/>
  <c r="S16" i="1" s="1"/>
  <c r="T16" i="1" s="1"/>
  <c r="Q50" i="1"/>
  <c r="S50" i="1" s="1"/>
  <c r="T50" i="1" s="1"/>
  <c r="Q34" i="1"/>
  <c r="S34" i="1" s="1"/>
  <c r="T34" i="1" s="1"/>
  <c r="Q47" i="1"/>
  <c r="Q31" i="1"/>
  <c r="S31" i="1" s="1"/>
  <c r="T31" i="1" s="1"/>
  <c r="Q15" i="1"/>
  <c r="Q2" i="1"/>
  <c r="S2" i="1" s="1"/>
  <c r="T2" i="1" s="1"/>
  <c r="V50" i="1"/>
  <c r="V34" i="1"/>
  <c r="V18" i="1"/>
  <c r="V17" i="1"/>
  <c r="V48" i="1"/>
  <c r="V32" i="1"/>
  <c r="V16" i="1"/>
  <c r="V47" i="1"/>
  <c r="V31" i="1"/>
  <c r="V15" i="1"/>
  <c r="S33" i="1"/>
  <c r="T33" i="1" s="1"/>
</calcChain>
</file>

<file path=xl/sharedStrings.xml><?xml version="1.0" encoding="utf-8"?>
<sst xmlns="http://schemas.openxmlformats.org/spreadsheetml/2006/main" count="697" uniqueCount="191">
  <si>
    <t>CLI-001</t>
  </si>
  <si>
    <t>CLI-002</t>
  </si>
  <si>
    <t>CLI-003</t>
  </si>
  <si>
    <t>CLI-004</t>
  </si>
  <si>
    <t>CLI-005</t>
  </si>
  <si>
    <t>CLI-006</t>
  </si>
  <si>
    <t>CLI-007</t>
  </si>
  <si>
    <t>CLI-008</t>
  </si>
  <si>
    <t>CLI-009</t>
  </si>
  <si>
    <t>CLI-010</t>
  </si>
  <si>
    <t>CLI-011</t>
  </si>
  <si>
    <t>CLI-012</t>
  </si>
  <si>
    <t>CLI-013</t>
  </si>
  <si>
    <t>CLI-014</t>
  </si>
  <si>
    <t>CLI-015</t>
  </si>
  <si>
    <t>CLI-016</t>
  </si>
  <si>
    <t>CLI-017</t>
  </si>
  <si>
    <t>CLI-018</t>
  </si>
  <si>
    <t>CLI-019</t>
  </si>
  <si>
    <t>CLI-020</t>
  </si>
  <si>
    <t>CLI-021</t>
  </si>
  <si>
    <t>CLI-022</t>
  </si>
  <si>
    <t>CLI-023</t>
  </si>
  <si>
    <t>CLI-024</t>
  </si>
  <si>
    <t>CLI-025</t>
  </si>
  <si>
    <t>CLI-026</t>
  </si>
  <si>
    <t>CLI-027</t>
  </si>
  <si>
    <t>CLI-028</t>
  </si>
  <si>
    <t>CLI-029</t>
  </si>
  <si>
    <t>CLI-030</t>
  </si>
  <si>
    <t>CLI-031</t>
  </si>
  <si>
    <t>CLI-032</t>
  </si>
  <si>
    <t>CLI-033</t>
  </si>
  <si>
    <t>CLI-034</t>
  </si>
  <si>
    <t>CLI-035</t>
  </si>
  <si>
    <t>CLI-036</t>
  </si>
  <si>
    <t>CLI-037</t>
  </si>
  <si>
    <t>CLI-038</t>
  </si>
  <si>
    <t>CLI-039</t>
  </si>
  <si>
    <t>CLI-040</t>
  </si>
  <si>
    <t>CLI-041</t>
  </si>
  <si>
    <t>CLI-042</t>
  </si>
  <si>
    <t>CLI-043</t>
  </si>
  <si>
    <t>CLI-044</t>
  </si>
  <si>
    <t>CLI-045</t>
  </si>
  <si>
    <t>CLI-046</t>
  </si>
  <si>
    <t>CLI-047</t>
  </si>
  <si>
    <t>CLI-048</t>
  </si>
  <si>
    <t>CLI-049</t>
  </si>
  <si>
    <t>CLI-050</t>
  </si>
  <si>
    <t>Subfactor</t>
  </si>
  <si>
    <t>FACTOR CLIENTE</t>
  </si>
  <si>
    <t>Valor 1 - Bajo</t>
  </si>
  <si>
    <t>Valor 2 - Medio</t>
  </si>
  <si>
    <t>Valor 3 - Alto</t>
  </si>
  <si>
    <t>Tipo de persona</t>
  </si>
  <si>
    <t>Humana, sin estructura jurídica compleja</t>
  </si>
  <si>
    <t>Jurídica simple (sociedad unipersonal, SAS)</t>
  </si>
  <si>
    <t>Jurídica compleja (SA con accionistas en el exterior, fideicomiso, fundación)</t>
  </si>
  <si>
    <t>Condición PEP</t>
  </si>
  <si>
    <t>No es PEP</t>
  </si>
  <si>
    <t>PEP nacional de nivel bajo (funcionario municipal)</t>
  </si>
  <si>
    <t>PEP nacional de nivel alto o PEP extranjero</t>
  </si>
  <si>
    <t>Condición FPADM</t>
  </si>
  <si>
    <t>Sin antecedentes</t>
  </si>
  <si>
    <t>Antecedentes menores o investigaciones sin condena</t>
  </si>
  <si>
    <t>Coincidencia en lista FPADM (Res. UIF N° 3/2026)</t>
  </si>
  <si>
    <t>Beneficiario final identificado</t>
  </si>
  <si>
    <t>Identificado completamente</t>
  </si>
  <si>
    <t>Identificado parcialmente</t>
  </si>
  <si>
    <t>No identificado o identificación en trámite</t>
  </si>
  <si>
    <t>Fuente: Art. 4°, Res. UIF N° 14/2023 (mod. Res. 199/2024). La incorporación del subfactor FPADM responde a la ampliación del objeto normativo de LA/FT a LA/FT/FP.</t>
  </si>
  <si>
    <t>Tipo de producto</t>
  </si>
  <si>
    <t>Caja de ahorro en pesos, cuenta sueldo</t>
  </si>
  <si>
    <t>Cuenta corriente, crédito personal, tarjeta de crédito</t>
  </si>
  <si>
    <t>Transferencias internacionales, productos de inversión, fideicomisos financieros</t>
  </si>
  <si>
    <t>Complejidad del producto</t>
  </si>
  <si>
    <t>Sin estructuras adicionales</t>
  </si>
  <si>
    <t>Requiere documentación de respaldo</t>
  </si>
  <si>
    <t>Alta complejidad (cadena de custodios, múltiples jurisdicciones)</t>
  </si>
  <si>
    <t>FACTOR PRODUCTO/SERVICIO</t>
  </si>
  <si>
    <t>Valor 3  Alto</t>
  </si>
  <si>
    <t>Canal</t>
  </si>
  <si>
    <t>Puntaje</t>
  </si>
  <si>
    <t>Presencial en sucursal con identificación completa</t>
  </si>
  <si>
    <t>Semipresencial o mixto (inicio online, firma presencial)</t>
  </si>
  <si>
    <t>100% digital / no presencial / sin contacto directo</t>
  </si>
  <si>
    <t>FACTOR CANAL</t>
  </si>
  <si>
    <t>Fuente: Art. 26, Res. UIF N° 14/2023 (mod. Res. 78/2025). La identificación no presencial habilitada normativamente conlleva controles adicionales que elevan el puntaje de riesgo del canal.</t>
  </si>
  <si>
    <t>Jurisdicción del cliente</t>
  </si>
  <si>
    <t>CABA</t>
  </si>
  <si>
    <t>Buenos Aires</t>
  </si>
  <si>
    <t>Córdoba</t>
  </si>
  <si>
    <t>Santa Fe</t>
  </si>
  <si>
    <t>Otras provincias argentinas sin alerta específica de la UIF</t>
  </si>
  <si>
    <t>Jurisdicciones identificadas por la UIF como de mayor riesgo o incluidas en listados GAFI</t>
  </si>
  <si>
    <t>Fuente: Art. 4°, Res. UIF N° 14/2023.</t>
  </si>
  <si>
    <t>Puntaje ponderado total</t>
  </si>
  <si>
    <t>Nivel de riesgo</t>
  </si>
  <si>
    <t>Debida diligencia aplicable</t>
  </si>
  <si>
    <t>Referencia normativa</t>
  </si>
  <si>
    <t>1.00 — 1.60</t>
  </si>
  <si>
    <t>BAJO</t>
  </si>
  <si>
    <t>Simplificada (hasta 12 SMVM/mes para clientes de inclusión financiera)</t>
  </si>
  <si>
    <t>Art. 27, Res. 14/2023 (mod. 199/2024)</t>
  </si>
  <si>
    <t>1.61 — 2.30</t>
  </si>
  <si>
    <t>MEDIO</t>
  </si>
  <si>
    <t>Media (documentación estándar completa)</t>
  </si>
  <si>
    <t>Art. 27, Res. 14/2023</t>
  </si>
  <si>
    <t>2.31 — 3.00</t>
  </si>
  <si>
    <t>ALTO</t>
  </si>
  <si>
    <t>Reforzada (origen de fondos + propósito + monitoreo intensificado)</t>
  </si>
  <si>
    <t>Art. 28, Res. 14/2023</t>
  </si>
  <si>
    <t>Regla de escalonamiento automático: independientemente del puntaje ponderado, todo cliente con condición de PEP activo, coincidencia en lista FPADM (Res. UIF N° 3/2026) o beneficiario final no identificado se clasifica automáticamente como ALTO y se le aplica Debida Diligencia Reforzada. La norma prevalece sobre la metodología interna.</t>
  </si>
  <si>
    <t>FACTOR GEOGRAFICO</t>
  </si>
  <si>
    <t>ESCALA DE CLASIFICACION FINAL Y DEBIDA DILIGENCIA APLICABLE</t>
  </si>
  <si>
    <t>ID_CLIENTE</t>
  </si>
  <si>
    <t>TIPO_PERSONA</t>
  </si>
  <si>
    <t>SECTOR_ACTIVIDAD</t>
  </si>
  <si>
    <t>ANTIGUEDAD_ENTIDAD_AÑOS</t>
  </si>
  <si>
    <t>PEP</t>
  </si>
  <si>
    <t>FPADM</t>
  </si>
  <si>
    <t>BENEFICIARIO_FINAL</t>
  </si>
  <si>
    <t>PUNTAJE_CLIENTE</t>
  </si>
  <si>
    <t>PUNTAJE_CLIENTE_PONDERADO</t>
  </si>
  <si>
    <t>TIPO_PRODUCTO</t>
  </si>
  <si>
    <t>COMPLEJIDAD_PRODUCTO</t>
  </si>
  <si>
    <t>PUNTAJE_PRODUCTO_PONDERADO</t>
  </si>
  <si>
    <t>CANAL_VINCULACION</t>
  </si>
  <si>
    <t>PUNTAJE_CANAL_PONDERADO</t>
  </si>
  <si>
    <t>JURISDICCION</t>
  </si>
  <si>
    <t>PUNTAJE_GEOGRAFICO_PONDERADO</t>
  </si>
  <si>
    <t>PUNTAJE_TOTAL</t>
  </si>
  <si>
    <t>ESCALONAMIENTO_AUTOMATICO</t>
  </si>
  <si>
    <t>NIVEL_RIESGO_FINAL</t>
  </si>
  <si>
    <t>DILIGENCIA_APLICABLE</t>
  </si>
  <si>
    <t>COLOR_RIESGO</t>
  </si>
  <si>
    <t>OBSERVACIONES</t>
  </si>
  <si>
    <t>Humana</t>
  </si>
  <si>
    <t>Empleado en relación de dependencia</t>
  </si>
  <si>
    <t>No</t>
  </si>
  <si>
    <t>Identificado</t>
  </si>
  <si>
    <t>Baja</t>
  </si>
  <si>
    <t>Presencial</t>
  </si>
  <si>
    <t>Trabajador independiente</t>
  </si>
  <si>
    <t>PEP Nacional Bajo</t>
  </si>
  <si>
    <t>Media</t>
  </si>
  <si>
    <t>Mixto</t>
  </si>
  <si>
    <t>Otra provincia/Argentina</t>
  </si>
  <si>
    <t>Parcial</t>
  </si>
  <si>
    <t>Comercio minorista / Actividad comercial propia</t>
  </si>
  <si>
    <t>Antecedentes menores</t>
  </si>
  <si>
    <t>Alta</t>
  </si>
  <si>
    <t>Digital</t>
  </si>
  <si>
    <t>Jurídica Simple</t>
  </si>
  <si>
    <t>Servicios (SAS/SRL)</t>
  </si>
  <si>
    <t>Jurídica Compleja</t>
  </si>
  <si>
    <t>Exportación / Servicios internacionales</t>
  </si>
  <si>
    <t>Jurisdicción GAFI</t>
  </si>
  <si>
    <t>No identificado</t>
  </si>
  <si>
    <t>Funcion público municipal</t>
  </si>
  <si>
    <t>Funcion público nacional</t>
  </si>
  <si>
    <t>PEP Nacional Alto</t>
  </si>
  <si>
    <t>Relaciones internacionales / Expat</t>
  </si>
  <si>
    <t>PEP Extranjero</t>
  </si>
  <si>
    <t>Actividad variada</t>
  </si>
  <si>
    <t>Reforzada</t>
  </si>
  <si>
    <t>Escalonamiento automático: revisar DD Reforzada</t>
  </si>
  <si>
    <t>Coincidencia lista FPADM</t>
  </si>
  <si>
    <t>Clientes Riesgo ALTO</t>
  </si>
  <si>
    <t>Clientes Riesgo BAJO</t>
  </si>
  <si>
    <t>Clientes Riesgo MEDIO</t>
  </si>
  <si>
    <t>Total Clientes</t>
  </si>
  <si>
    <t>Count of ID_CLIENTE</t>
  </si>
  <si>
    <t>Cliente Riesgo Alto</t>
  </si>
  <si>
    <t>Column Labels</t>
  </si>
  <si>
    <t>Grand Total</t>
  </si>
  <si>
    <t>Row Labels</t>
  </si>
  <si>
    <t>AML &amp; KYC</t>
  </si>
  <si>
    <t>Risk Monitoring &amp; Reporting</t>
  </si>
  <si>
    <t>LA/FT/FP</t>
  </si>
  <si>
    <t>Sum of PUNTAJE_TOTAL</t>
  </si>
  <si>
    <t>TOP 5 CLIENTES MAS RIESGOSOS</t>
  </si>
  <si>
    <t>CLIENTE</t>
  </si>
  <si>
    <t>RIESGO</t>
  </si>
  <si>
    <t>DILIGENCIA</t>
  </si>
  <si>
    <t>CANAL</t>
  </si>
  <si>
    <t>JURIS</t>
  </si>
  <si>
    <t>COMPL</t>
  </si>
  <si>
    <t>PRODUCT</t>
  </si>
  <si>
    <t>BENEF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</si>
</sst>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Aptos Narrow"/>
      <family val="2"/>
      <scheme val="minor"/>
    </font>
    <font>
      <b/>
      <sz val="11"/>
      <color theme="1"/>
      <name val="Aptos Narrow"/>
      <family val="2"/>
      <scheme val="minor"/>
    </font>
    <font>
      <sz val="8"/>
      <name val="Aptos Narrow"/>
      <family val="2"/>
      <scheme val="minor"/>
    </font>
    <font>
      <b/>
      <i/>
      <sz val="11"/>
      <color theme="1"/>
      <name val="Aptos Narrow"/>
      <family val="2"/>
      <scheme val="minor"/>
    </font>
    <font>
      <b/>
      <sz val="11"/>
      <name val="Calibri"/>
      <family val="2"/>
    </font>
    <font>
      <sz val="11"/>
      <color theme="1"/>
      <name val="Calibri"/>
      <family val="2"/>
    </font>
    <font>
      <sz val="11"/>
      <color theme="1"/>
      <name val="Abadi"/>
      <family val="2"/>
    </font>
    <font>
      <b/>
      <sz val="24"/>
      <color theme="2"/>
      <name val="Segoe UI"/>
      <family val="2"/>
    </font>
    <font>
      <sz val="11"/>
      <color rgb="FFD5D0CB"/>
      <name val="Aptos Narrow"/>
      <family val="2"/>
      <scheme val="minor"/>
    </font>
    <font>
      <b/>
      <sz val="11"/>
      <color theme="0"/>
      <name val="Calibri"/>
      <family val="2"/>
    </font>
    <font>
      <sz val="16"/>
      <color rgb="FFF7D3A3"/>
      <name val="Segoe UI"/>
      <family val="2"/>
    </font>
    <font>
      <b/>
      <sz val="36"/>
      <color theme="2"/>
      <name val="Segoe UI"/>
      <family val="2"/>
    </font>
    <font>
      <sz val="18"/>
      <color rgb="FFF7D3A3"/>
      <name val="Segoe UI"/>
      <family val="2"/>
    </font>
    <font>
      <sz val="20"/>
      <color rgb="FFF7D3A3"/>
      <name val="Segoe UI"/>
      <family val="2"/>
    </font>
    <font>
      <sz val="36"/>
      <color theme="2"/>
      <name val="Segoe UI"/>
      <family val="2"/>
    </font>
    <font>
      <b/>
      <sz val="11"/>
      <color rgb="FFF7D3A3"/>
      <name val="Segoe UI"/>
      <family val="2"/>
    </font>
    <font>
      <sz val="12"/>
      <color rgb="FFF7D3A3"/>
      <name val="Segoe UI"/>
      <family val="2"/>
    </font>
    <font>
      <b/>
      <sz val="24"/>
      <color theme="2"/>
      <name val="Aptos Narrow"/>
      <family val="2"/>
      <scheme val="minor"/>
    </font>
  </fonts>
  <fills count="7">
    <fill>
      <patternFill patternType="none"/>
    </fill>
    <fill>
      <patternFill patternType="gray125"/>
    </fill>
    <fill>
      <patternFill patternType="solid">
        <fgColor rgb="FF0D0208"/>
        <bgColor indexed="64"/>
      </patternFill>
    </fill>
    <fill>
      <patternFill patternType="solid">
        <fgColor rgb="FF170314"/>
        <bgColor indexed="64"/>
      </patternFill>
    </fill>
    <fill>
      <patternFill patternType="solid">
        <fgColor rgb="FFFFFF00"/>
        <bgColor indexed="64"/>
      </patternFill>
    </fill>
    <fill>
      <patternFill patternType="solid">
        <fgColor rgb="FF520235"/>
        <bgColor indexed="64"/>
      </patternFill>
    </fill>
    <fill>
      <patternFill patternType="solid">
        <fgColor rgb="FF0E020C"/>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rgb="FFF7D3A3"/>
      </top>
      <bottom/>
      <diagonal/>
    </border>
    <border>
      <left style="thin">
        <color rgb="FFF7D3A3"/>
      </left>
      <right/>
      <top style="thin">
        <color rgb="FFF7D3A3"/>
      </top>
      <bottom/>
      <diagonal/>
    </border>
    <border>
      <left/>
      <right style="thin">
        <color rgb="FFF7D3A3"/>
      </right>
      <top style="thin">
        <color rgb="FFF7D3A3"/>
      </top>
      <bottom/>
      <diagonal/>
    </border>
    <border>
      <left style="thin">
        <color rgb="FFF7D3A3"/>
      </left>
      <right/>
      <top/>
      <bottom/>
      <diagonal/>
    </border>
    <border>
      <left/>
      <right style="thin">
        <color rgb="FFF7D3A3"/>
      </right>
      <top/>
      <bottom/>
      <diagonal/>
    </border>
    <border>
      <left style="thin">
        <color rgb="FFF7D3A3"/>
      </left>
      <right/>
      <top/>
      <bottom style="thin">
        <color rgb="FFF7D3A3"/>
      </bottom>
      <diagonal/>
    </border>
    <border>
      <left/>
      <right style="thin">
        <color rgb="FFF7D3A3"/>
      </right>
      <top/>
      <bottom style="thin">
        <color rgb="FFF7D3A3"/>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right/>
      <top/>
      <bottom style="thin">
        <color rgb="FFF7D3A3"/>
      </bottom>
      <diagonal/>
    </border>
  </borders>
  <cellStyleXfs count="1">
    <xf numFmtId="0" fontId="0" fillId="0" borderId="0"/>
  </cellStyleXfs>
  <cellXfs count="88">
    <xf numFmtId="0" fontId="0" fillId="0" borderId="0" xfId="0"/>
    <xf numFmtId="0" fontId="0" fillId="0" borderId="0" xfId="0" applyAlignment="1">
      <alignment vertical="center"/>
    </xf>
    <xf numFmtId="0" fontId="0" fillId="0" borderId="1" xfId="0" applyBorder="1"/>
    <xf numFmtId="0" fontId="1" fillId="0" borderId="1" xfId="0" applyFont="1" applyBorder="1"/>
    <xf numFmtId="0" fontId="0" fillId="0" borderId="1" xfId="0" applyBorder="1" applyAlignment="1">
      <alignment wrapText="1"/>
    </xf>
    <xf numFmtId="0" fontId="0" fillId="0" borderId="1" xfId="0" applyBorder="1" applyAlignment="1">
      <alignment horizontal="left" vertical="top"/>
    </xf>
    <xf numFmtId="0" fontId="0" fillId="0" borderId="1" xfId="0" applyBorder="1" applyAlignment="1">
      <alignment horizontal="left" vertical="top" wrapText="1"/>
    </xf>
    <xf numFmtId="0" fontId="4" fillId="0" borderId="1" xfId="0" applyFont="1" applyBorder="1" applyAlignment="1">
      <alignment wrapText="1"/>
    </xf>
    <xf numFmtId="0" fontId="4" fillId="0" borderId="1" xfId="0" applyFont="1" applyBorder="1"/>
    <xf numFmtId="0" fontId="0" fillId="0" borderId="8" xfId="0" applyBorder="1" applyAlignment="1">
      <alignment wrapText="1"/>
    </xf>
    <xf numFmtId="0" fontId="0" fillId="0" borderId="8" xfId="0" applyBorder="1"/>
    <xf numFmtId="0" fontId="0" fillId="0" borderId="8" xfId="0" applyBorder="1" applyAlignment="1">
      <alignment vertical="top" wrapText="1"/>
    </xf>
    <xf numFmtId="0" fontId="3" fillId="0" borderId="0" xfId="0" applyFont="1"/>
    <xf numFmtId="0" fontId="5" fillId="0" borderId="1" xfId="0" applyFont="1" applyBorder="1"/>
    <xf numFmtId="0" fontId="0" fillId="0" borderId="10" xfId="0" applyBorder="1"/>
    <xf numFmtId="0" fontId="0" fillId="0" borderId="9" xfId="0" applyBorder="1"/>
    <xf numFmtId="0" fontId="0" fillId="0" borderId="11" xfId="0" applyBorder="1"/>
    <xf numFmtId="0" fontId="0" fillId="0" borderId="2" xfId="0" applyBorder="1"/>
    <xf numFmtId="0" fontId="0" fillId="0" borderId="5" xfId="0" applyBorder="1"/>
    <xf numFmtId="0" fontId="0" fillId="2" borderId="0" xfId="0" applyFill="1"/>
    <xf numFmtId="0" fontId="0" fillId="3" borderId="0" xfId="0" applyFill="1"/>
    <xf numFmtId="0" fontId="6" fillId="2" borderId="0" xfId="0" applyFont="1" applyFill="1"/>
    <xf numFmtId="0" fontId="8" fillId="2" borderId="0" xfId="0" applyFont="1" applyFill="1"/>
    <xf numFmtId="0" fontId="5" fillId="0" borderId="7" xfId="0" applyFont="1" applyBorder="1"/>
    <xf numFmtId="0" fontId="5" fillId="0" borderId="6" xfId="0" applyFont="1" applyBorder="1" applyAlignment="1">
      <alignment horizontal="center" vertical="center"/>
    </xf>
    <xf numFmtId="0" fontId="5" fillId="0" borderId="3" xfId="0" applyFont="1" applyBorder="1"/>
    <xf numFmtId="0" fontId="5" fillId="0" borderId="8" xfId="0" applyFont="1" applyBorder="1"/>
    <xf numFmtId="0" fontId="5" fillId="0" borderId="2" xfId="0" applyFont="1" applyBorder="1" applyAlignment="1">
      <alignment horizontal="center" vertical="center"/>
    </xf>
    <xf numFmtId="0" fontId="9" fillId="0" borderId="5" xfId="0" applyFont="1" applyBorder="1"/>
    <xf numFmtId="0" fontId="9" fillId="0" borderId="10" xfId="0" applyFont="1" applyBorder="1"/>
    <xf numFmtId="0" fontId="9" fillId="0" borderId="4" xfId="0" applyFont="1" applyBorder="1" applyAlignment="1">
      <alignment horizontal="center" vertical="center"/>
    </xf>
    <xf numFmtId="0" fontId="0" fillId="0" borderId="0" xfId="0" pivotButton="1"/>
    <xf numFmtId="0" fontId="0" fillId="0" borderId="0" xfId="0" applyAlignment="1">
      <alignment horizontal="left"/>
    </xf>
    <xf numFmtId="10" fontId="0" fillId="0" borderId="0" xfId="0" applyNumberFormat="1"/>
    <xf numFmtId="0" fontId="14" fillId="3" borderId="0" xfId="0" applyFont="1" applyFill="1" applyAlignment="1">
      <alignment vertical="center" wrapText="1"/>
    </xf>
    <xf numFmtId="0" fontId="12" fillId="3" borderId="0" xfId="0" applyFont="1" applyFill="1" applyAlignment="1">
      <alignment vertical="top" wrapText="1"/>
    </xf>
    <xf numFmtId="2" fontId="0" fillId="0" borderId="0" xfId="0" applyNumberFormat="1"/>
    <xf numFmtId="0" fontId="4" fillId="0" borderId="1" xfId="0" applyFont="1" applyBorder="1" applyAlignment="1">
      <alignment horizontal="center" vertical="center" wrapText="1"/>
    </xf>
    <xf numFmtId="0" fontId="3" fillId="0" borderId="1" xfId="0" applyFont="1" applyBorder="1" applyAlignment="1">
      <alignment horizontal="center" wrapText="1"/>
    </xf>
    <xf numFmtId="0" fontId="3" fillId="0" borderId="1" xfId="0" applyFont="1" applyBorder="1" applyAlignment="1">
      <alignment horizontal="center"/>
    </xf>
    <xf numFmtId="0" fontId="4" fillId="0" borderId="1" xfId="0" applyFont="1" applyBorder="1" applyAlignment="1">
      <alignment horizontal="center" vertical="center"/>
    </xf>
    <xf numFmtId="0" fontId="1" fillId="0" borderId="1" xfId="0" applyFont="1" applyBorder="1" applyAlignment="1">
      <alignment horizontal="center" vertical="center"/>
    </xf>
    <xf numFmtId="0" fontId="3" fillId="0" borderId="1" xfId="0" applyFont="1" applyBorder="1" applyAlignment="1">
      <alignment horizontal="center" vertical="center" wrapText="1"/>
    </xf>
    <xf numFmtId="0" fontId="13" fillId="6" borderId="18" xfId="0" applyFont="1" applyFill="1" applyBorder="1" applyAlignment="1">
      <alignment horizontal="center" vertical="center"/>
    </xf>
    <xf numFmtId="0" fontId="13" fillId="6" borderId="0" xfId="0" applyFont="1" applyFill="1" applyAlignment="1">
      <alignment horizontal="center" vertical="center"/>
    </xf>
    <xf numFmtId="0" fontId="13" fillId="6" borderId="31" xfId="0" applyFont="1" applyFill="1" applyBorder="1" applyAlignment="1">
      <alignment horizontal="center" vertical="center"/>
    </xf>
    <xf numFmtId="0" fontId="10" fillId="6" borderId="19" xfId="0" applyFont="1" applyFill="1" applyBorder="1" applyAlignment="1">
      <alignment horizontal="center" vertical="center" wrapText="1"/>
    </xf>
    <xf numFmtId="0" fontId="10" fillId="6" borderId="18" xfId="0" applyFont="1" applyFill="1" applyBorder="1" applyAlignment="1">
      <alignment horizontal="center" vertical="center" wrapText="1"/>
    </xf>
    <xf numFmtId="0" fontId="10" fillId="6" borderId="20" xfId="0" applyFont="1" applyFill="1" applyBorder="1" applyAlignment="1">
      <alignment horizontal="center" vertical="center" wrapText="1"/>
    </xf>
    <xf numFmtId="0" fontId="10" fillId="6" borderId="21" xfId="0" applyFont="1" applyFill="1" applyBorder="1" applyAlignment="1">
      <alignment horizontal="center" vertical="center" wrapText="1"/>
    </xf>
    <xf numFmtId="0" fontId="10" fillId="6" borderId="0" xfId="0" applyFont="1" applyFill="1" applyAlignment="1">
      <alignment horizontal="center" vertical="center" wrapText="1"/>
    </xf>
    <xf numFmtId="0" fontId="10" fillId="6" borderId="22" xfId="0" applyFont="1" applyFill="1" applyBorder="1" applyAlignment="1">
      <alignment horizontal="center" vertical="center" wrapText="1"/>
    </xf>
    <xf numFmtId="0" fontId="10" fillId="6" borderId="23" xfId="0" applyFont="1" applyFill="1" applyBorder="1" applyAlignment="1">
      <alignment horizontal="center" vertical="center" wrapText="1"/>
    </xf>
    <xf numFmtId="0" fontId="10" fillId="6" borderId="31" xfId="0" applyFont="1" applyFill="1" applyBorder="1" applyAlignment="1">
      <alignment horizontal="center" vertical="center" wrapText="1"/>
    </xf>
    <xf numFmtId="0" fontId="10" fillId="6" borderId="24" xfId="0" applyFont="1" applyFill="1" applyBorder="1" applyAlignment="1">
      <alignment horizontal="center" vertical="center" wrapText="1"/>
    </xf>
    <xf numFmtId="0" fontId="16" fillId="6" borderId="19" xfId="0" applyFont="1" applyFill="1" applyBorder="1" applyAlignment="1">
      <alignment horizontal="center" vertical="center"/>
    </xf>
    <xf numFmtId="0" fontId="16" fillId="6" borderId="18" xfId="0" applyFont="1" applyFill="1" applyBorder="1" applyAlignment="1">
      <alignment horizontal="center" vertical="center"/>
    </xf>
    <xf numFmtId="0" fontId="16" fillId="6" borderId="20" xfId="0" applyFont="1" applyFill="1" applyBorder="1" applyAlignment="1">
      <alignment horizontal="center" vertical="center"/>
    </xf>
    <xf numFmtId="0" fontId="16" fillId="6" borderId="21" xfId="0" applyFont="1" applyFill="1" applyBorder="1" applyAlignment="1">
      <alignment horizontal="center" vertical="center"/>
    </xf>
    <xf numFmtId="0" fontId="16" fillId="6" borderId="0" xfId="0" applyFont="1" applyFill="1" applyAlignment="1">
      <alignment horizontal="center" vertical="center"/>
    </xf>
    <xf numFmtId="0" fontId="16" fillId="6" borderId="22" xfId="0" applyFont="1" applyFill="1" applyBorder="1" applyAlignment="1">
      <alignment horizontal="center" vertical="center"/>
    </xf>
    <xf numFmtId="0" fontId="16" fillId="6" borderId="23" xfId="0" applyFont="1" applyFill="1" applyBorder="1" applyAlignment="1">
      <alignment horizontal="center" vertical="center"/>
    </xf>
    <xf numFmtId="0" fontId="16" fillId="6" borderId="31" xfId="0" applyFont="1" applyFill="1" applyBorder="1" applyAlignment="1">
      <alignment horizontal="center" vertical="center"/>
    </xf>
    <xf numFmtId="0" fontId="16" fillId="6" borderId="24" xfId="0" applyFont="1" applyFill="1" applyBorder="1" applyAlignment="1">
      <alignment horizontal="center" vertical="center"/>
    </xf>
    <xf numFmtId="2" fontId="13" fillId="6" borderId="19" xfId="0" applyNumberFormat="1" applyFont="1" applyFill="1" applyBorder="1" applyAlignment="1">
      <alignment horizontal="center" vertical="center"/>
    </xf>
    <xf numFmtId="0" fontId="13" fillId="6" borderId="20" xfId="0" applyFont="1" applyFill="1" applyBorder="1" applyAlignment="1">
      <alignment horizontal="center" vertical="center"/>
    </xf>
    <xf numFmtId="0" fontId="13" fillId="6" borderId="21" xfId="0" applyFont="1" applyFill="1" applyBorder="1" applyAlignment="1">
      <alignment horizontal="center" vertical="center"/>
    </xf>
    <xf numFmtId="0" fontId="13" fillId="6" borderId="22" xfId="0" applyFont="1" applyFill="1" applyBorder="1" applyAlignment="1">
      <alignment horizontal="center" vertical="center"/>
    </xf>
    <xf numFmtId="0" fontId="13" fillId="6" borderId="23" xfId="0" applyFont="1" applyFill="1" applyBorder="1" applyAlignment="1">
      <alignment horizontal="center" vertical="center"/>
    </xf>
    <xf numFmtId="0" fontId="13" fillId="6" borderId="24" xfId="0" applyFont="1" applyFill="1" applyBorder="1" applyAlignment="1">
      <alignment horizontal="center" vertical="center"/>
    </xf>
    <xf numFmtId="0" fontId="17" fillId="6" borderId="0" xfId="0" applyFont="1" applyFill="1" applyAlignment="1">
      <alignment horizontal="center" vertical="center"/>
    </xf>
    <xf numFmtId="0" fontId="17" fillId="6" borderId="31" xfId="0" applyFont="1" applyFill="1" applyBorder="1" applyAlignment="1">
      <alignment horizontal="center" vertical="center"/>
    </xf>
    <xf numFmtId="0" fontId="11" fillId="3" borderId="0" xfId="0" applyFont="1" applyFill="1" applyAlignment="1">
      <alignment horizontal="center" vertical="center" wrapText="1"/>
    </xf>
    <xf numFmtId="0" fontId="12" fillId="3" borderId="0" xfId="0" applyFont="1" applyFill="1" applyAlignment="1">
      <alignment horizontal="center" vertical="top" wrapText="1"/>
    </xf>
    <xf numFmtId="0" fontId="7" fillId="6" borderId="0" xfId="0" applyFont="1" applyFill="1" applyAlignment="1">
      <alignment horizontal="center" vertical="center"/>
    </xf>
    <xf numFmtId="0" fontId="12" fillId="3" borderId="0" xfId="0" applyFont="1" applyFill="1" applyAlignment="1">
      <alignment horizontal="center" vertical="center" wrapText="1"/>
    </xf>
    <xf numFmtId="0" fontId="15" fillId="5" borderId="25" xfId="0" applyFont="1" applyFill="1" applyBorder="1" applyAlignment="1">
      <alignment horizontal="center" vertical="center"/>
    </xf>
    <xf numFmtId="0" fontId="15" fillId="5" borderId="26" xfId="0" applyFont="1" applyFill="1" applyBorder="1" applyAlignment="1">
      <alignment horizontal="center" vertical="center"/>
    </xf>
    <xf numFmtId="0" fontId="15" fillId="5" borderId="27" xfId="0" applyFont="1" applyFill="1" applyBorder="1" applyAlignment="1">
      <alignment horizontal="center" vertical="center"/>
    </xf>
    <xf numFmtId="0" fontId="15" fillId="5" borderId="28" xfId="0" applyFont="1" applyFill="1" applyBorder="1" applyAlignment="1">
      <alignment horizontal="center" vertical="center"/>
    </xf>
    <xf numFmtId="0" fontId="15" fillId="5" borderId="29" xfId="0" applyFont="1" applyFill="1" applyBorder="1" applyAlignment="1">
      <alignment horizontal="center" vertical="center"/>
    </xf>
    <xf numFmtId="0" fontId="15" fillId="5" borderId="30" xfId="0" applyFont="1" applyFill="1" applyBorder="1" applyAlignment="1">
      <alignment horizontal="center" vertical="center"/>
    </xf>
    <xf numFmtId="0" fontId="0" fillId="4" borderId="12" xfId="0" applyFill="1" applyBorder="1" applyAlignment="1">
      <alignment horizontal="center"/>
    </xf>
    <xf numFmtId="0" fontId="0" fillId="4" borderId="13" xfId="0" applyFill="1" applyBorder="1" applyAlignment="1">
      <alignment horizontal="center"/>
    </xf>
    <xf numFmtId="0" fontId="0" fillId="4" borderId="14" xfId="0" applyFill="1"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cellXfs>
  <cellStyles count="1">
    <cellStyle name="Normal" xfId="0" builtinId="0"/>
  </cellStyles>
  <dxfs count="209">
    <dxf>
      <font>
        <color rgb="FFF20E0E"/>
      </font>
    </dxf>
    <dxf>
      <font>
        <color rgb="FFE9841F"/>
      </font>
    </dxf>
    <dxf>
      <font>
        <color rgb="FFF20E0E"/>
      </font>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dxf>
    <dxf>
      <border outline="0">
        <bottom style="thin">
          <color indexed="64"/>
        </bottom>
      </border>
    </dxf>
    <dxf>
      <font>
        <b/>
        <i val="0"/>
        <strike val="0"/>
        <condense val="0"/>
        <extend val="0"/>
        <outline val="0"/>
        <shadow val="0"/>
        <u val="none"/>
        <vertAlign val="baseline"/>
        <sz val="11"/>
        <color theme="0"/>
        <name val="Calibri"/>
        <family val="2"/>
        <scheme val="none"/>
      </font>
      <border diagonalUp="0" diagonalDown="0" outline="0">
        <left style="thin">
          <color indexed="64"/>
        </left>
        <right style="thin">
          <color indexed="64"/>
        </right>
        <top/>
        <bottom/>
      </border>
    </dxf>
    <dxf>
      <font>
        <b val="0"/>
        <i val="0"/>
        <sz val="14"/>
        <color theme="8" tint="-0.499984740745262"/>
        <name val="Segoe UI"/>
        <family val="2"/>
        <scheme val="none"/>
      </font>
      <fill>
        <patternFill patternType="solid">
          <bgColor theme="8" tint="-0.499984740745262"/>
        </patternFill>
      </fill>
      <border diagonalUp="0" diagonalDown="0">
        <left/>
        <right/>
        <top/>
        <bottom/>
        <vertical/>
        <horizontal/>
      </border>
    </dxf>
    <dxf>
      <font>
        <strike val="0"/>
        <u val="none"/>
        <color theme="8" tint="-0.499984740745262"/>
      </font>
    </dxf>
    <dxf>
      <font>
        <b/>
        <i val="0"/>
        <sz val="18"/>
        <color rgb="FFF2D28A"/>
        <name val="Segoe UI"/>
        <family val="2"/>
      </font>
      <fill>
        <patternFill patternType="none">
          <bgColor auto="1"/>
        </patternFill>
      </fill>
      <border diagonalUp="0" diagonalDown="0">
        <left/>
        <right/>
        <top/>
        <bottom/>
        <vertical/>
        <horizontal/>
      </border>
    </dxf>
    <dxf>
      <font>
        <b/>
        <i val="0"/>
        <sz val="18"/>
      </font>
      <fill>
        <patternFill patternType="solid">
          <bgColor rgb="FF1B0F16"/>
        </patternFill>
      </fill>
      <border>
        <left style="thin">
          <color auto="1"/>
        </left>
        <right style="thin">
          <color auto="1"/>
        </right>
        <top style="thin">
          <color auto="1"/>
        </top>
        <bottom style="thin">
          <color auto="1"/>
        </bottom>
      </border>
    </dxf>
  </dxfs>
  <tableStyles count="3" defaultTableStyle="TableStyleMedium2" defaultPivotStyle="PivotStyleLight16">
    <tableStyle name="Fintech" pivot="0" table="0" count="7" xr9:uid="{E4C5F371-5061-4DA6-9DDE-84ADB26B570B}">
      <tableStyleElement type="wholeTable" dxfId="208"/>
      <tableStyleElement type="headerRow" dxfId="207"/>
    </tableStyle>
    <tableStyle name="Slicer Style 1" pivot="0" table="0" count="1" xr9:uid="{2AB99351-6788-4992-8D73-E5FFD090444B}">
      <tableStyleElement type="wholeTable" dxfId="206"/>
    </tableStyle>
    <tableStyle name="Slicer Style 2" pivot="0" table="0" count="1" xr9:uid="{CDD353B3-ED0C-4147-8FCC-AA2FB6D37924}">
      <tableStyleElement type="wholeTable" dxfId="205"/>
    </tableStyle>
  </tableStyles>
  <colors>
    <mruColors>
      <color rgb="FFE0C569"/>
      <color rgb="FF7B6D74"/>
      <color rgb="FF120812"/>
      <color rgb="FFB6A9B0"/>
      <color rgb="FF24121A"/>
      <color rgb="FFE6C874"/>
      <color rgb="FFF2D28A"/>
      <color rgb="FF1B0F16"/>
      <color rgb="FF2A1720"/>
      <color rgb="FFEAF868"/>
    </mruColors>
  </colors>
  <extLst>
    <ext xmlns:x14="http://schemas.microsoft.com/office/spreadsheetml/2009/9/main" uri="{46F421CA-312F-682f-3DD2-61675219B42D}">
      <x14:dxfs count="5">
        <dxf>
          <font>
            <b/>
            <i val="0"/>
            <sz val="18"/>
          </font>
          <fill>
            <patternFill>
              <bgColor rgb="FFE0C569"/>
            </patternFill>
          </fill>
        </dxf>
        <dxf>
          <font>
            <b/>
            <i val="0"/>
            <sz val="18"/>
            <color rgb="FF120812"/>
            <name val="Segoe UI"/>
            <family val="2"/>
          </font>
          <fill>
            <patternFill>
              <bgColor rgb="FFE6C874"/>
            </patternFill>
          </fill>
          <border diagonalUp="0" diagonalDown="0">
            <left/>
            <right/>
            <top/>
            <bottom/>
            <vertical/>
            <horizontal/>
          </border>
        </dxf>
        <dxf>
          <font>
            <b/>
            <i val="0"/>
            <sz val="18"/>
            <color rgb="FF120812"/>
            <name val="Segoe UI"/>
            <family val="2"/>
          </font>
          <fill>
            <patternFill>
              <bgColor rgb="FFF2D28A"/>
            </patternFill>
          </fill>
          <border diagonalUp="0" diagonalDown="0">
            <left/>
            <right/>
            <top/>
            <bottom/>
            <vertical/>
            <horizontal/>
          </border>
        </dxf>
        <dxf>
          <font>
            <b/>
            <i val="0"/>
            <sz val="18"/>
            <color rgb="FF7B6D74"/>
            <name val="Segoe UI"/>
            <family val="2"/>
          </font>
          <fill>
            <patternFill>
              <bgColor rgb="FF120812"/>
            </patternFill>
          </fill>
          <border diagonalUp="0" diagonalDown="0">
            <left/>
            <right/>
            <top/>
            <bottom/>
            <vertical/>
            <horizontal/>
          </border>
        </dxf>
        <dxf>
          <font>
            <b/>
            <i val="0"/>
            <sz val="18"/>
            <color theme="2"/>
            <name val="Segoe UI"/>
            <family val="2"/>
          </font>
          <fill>
            <patternFill>
              <bgColor rgb="FF24121A"/>
            </patternFill>
          </fill>
        </dxf>
      </x14:dxfs>
    </ext>
    <ext xmlns:x14="http://schemas.microsoft.com/office/spreadsheetml/2009/9/main" uri="{EB79DEF2-80B8-43e5-95BD-54CBDDF9020C}">
      <x14:slicerStyles defaultSlicerStyle="SlicerStyleLight1">
        <x14:slicerStyle name="Fintech">
          <x14:slicerStyleElements>
            <x14:slicerStyleElement type="unselectedItemWithData" dxfId="4"/>
            <x14:slicerStyleElement type="unselectedItemWithNoData" dxfId="3"/>
            <x14:slicerStyleElement type="selectedItemWithData" dxfId="2"/>
            <x14:slicerStyleElement type="selectedItemWithNoData" dxfId="1"/>
            <x14:slicerStyleElement type="hoveredSelectedItemWithData" dxfId="0"/>
          </x14:slicerStyleElements>
        </x14:slicerStyle>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[matriz_riesgo_50_clientes.xlsx]Graficos!PivotTable2</c:name>
    <c:fmtId val="53"/>
  </c:pivotSource>
  <c:chart>
    <c:autoTitleDeleted val="1"/>
    <c:pivotFmts>
      <c:pivotFmt>
        <c:idx val="0"/>
        <c:spPr>
          <a:solidFill>
            <a:srgbClr val="F7D3A3"/>
          </a:solidFill>
          <a:ln>
            <a:noFill/>
          </a:ln>
          <a:effectLst>
            <a:outerShdw sx="1000" sy="1000" algn="ctr" rotWithShape="0">
              <a:prstClr val="black"/>
            </a:outerShdw>
          </a:effectLst>
        </c:spPr>
        <c:marker>
          <c:symbol val="circle"/>
          <c:size val="6"/>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s-AR"/>
            </a:p>
          </c:txPr>
          <c:dLblPos val="outEnd"/>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rgbClr val="F7D3A3"/>
          </a:solidFill>
          <a:ln>
            <a:noFill/>
          </a:ln>
          <a:effectLst>
            <a:outerShdw sx="1000" sy="1000" algn="ctr" rotWithShape="0">
              <a:prstClr val="black"/>
            </a:outerShdw>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s-AR"/>
            </a:p>
          </c:txPr>
          <c:dLblPos val="outEnd"/>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solidFill>
            <a:srgbClr val="F7D3A3"/>
          </a:solidFill>
          <a:ln>
            <a:noFill/>
          </a:ln>
          <a:effectLst>
            <a:outerShdw sx="1000" sy="1000" algn="ctr" rotWithShape="0">
              <a:prstClr val="black"/>
            </a:outerShdw>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s-AR"/>
            </a:p>
          </c:txPr>
          <c:dLblPos val="outEnd"/>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rgbClr val="F7D3A3"/>
          </a:solidFill>
          <a:ln>
            <a:noFill/>
          </a:ln>
          <a:effectLst>
            <a:outerShdw sx="1000" sy="1000" algn="ctr" rotWithShape="0">
              <a:prstClr val="black"/>
            </a:outerShdw>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s-AR"/>
            </a:p>
          </c:txPr>
          <c:dLblPos val="outEnd"/>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solidFill>
            <a:srgbClr val="F7D3A3"/>
          </a:solidFill>
          <a:ln>
            <a:noFill/>
          </a:ln>
          <a:effectLst>
            <a:outerShdw sx="1000" sy="1000" algn="ctr" rotWithShape="0">
              <a:prstClr val="black"/>
            </a:outerShdw>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s-AR"/>
            </a:p>
          </c:txPr>
          <c:dLblPos val="outEnd"/>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rgbClr val="F7D3A3"/>
          </a:solidFill>
          <a:ln>
            <a:noFill/>
          </a:ln>
          <a:effectLst>
            <a:outerShdw sx="1000" sy="1000" algn="ctr" rotWithShape="0">
              <a:prstClr val="black"/>
            </a:outerShdw>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s-AR"/>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rgbClr val="F7D3A3"/>
          </a:solidFill>
          <a:ln>
            <a:noFill/>
          </a:ln>
          <a:effectLst>
            <a:outerShdw sx="1000" sy="1000" algn="ctr" rotWithShape="0">
              <a:prstClr val="black"/>
            </a:outerShdw>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s-AR"/>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rgbClr val="F7D3A3"/>
          </a:solidFill>
          <a:ln>
            <a:noFill/>
          </a:ln>
          <a:effectLst>
            <a:outerShdw sx="1000" sy="1000" algn="ctr" rotWithShape="0">
              <a:prstClr val="black"/>
            </a:outerShdw>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s-AR"/>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no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2800" b="1" i="0" u="none" strike="noStrike" kern="1200" spc="0" baseline="0">
                  <a:solidFill>
                    <a:srgbClr val="F7D3A3"/>
                  </a:solidFill>
                  <a:latin typeface="Segoe UI" panose="020B0502040204020203" pitchFamily="34" charset="0"/>
                  <a:ea typeface="+mn-ea"/>
                  <a:cs typeface="Segoe UI" panose="020B0502040204020203" pitchFamily="34" charset="0"/>
                </a:defRPr>
              </a:pPr>
              <a:endParaRPr lang="es-AR"/>
            </a:p>
          </c:txPr>
          <c:dLblPos val="outEnd"/>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solidFill>
            <a:srgbClr val="F20E0E"/>
          </a:solidFill>
          <a:ln>
            <a:solidFill>
              <a:schemeClr val="tx1"/>
            </a:solidFill>
          </a:ln>
          <a:effectLst>
            <a:outerShdw sx="1000" sy="1000" algn="ctr" rotWithShape="0">
              <a:prstClr val="black"/>
            </a:outerShdw>
          </a:effectLst>
        </c:spPr>
        <c:dLbl>
          <c:idx val="0"/>
          <c:layout>
            <c:manualLayout>
              <c:x val="4.8271947349864848E-2"/>
              <c:y val="-6.8767908309455603E-2"/>
            </c:manualLayout>
          </c:layout>
          <c:tx>
            <c:rich>
              <a:bodyPr rot="0" spcFirstLastPara="1" vertOverflow="clip" horzOverflow="clip" vert="horz" wrap="square" lIns="38100" tIns="19050" rIns="38100" bIns="19050" anchor="ctr" anchorCtr="1">
                <a:spAutoFit/>
              </a:bodyPr>
              <a:lstStyle/>
              <a:p>
                <a:pPr>
                  <a:defRPr sz="2800" b="1" i="0" u="none" strike="noStrike" kern="1200" spc="0" baseline="0">
                    <a:solidFill>
                      <a:srgbClr val="F7D3A3"/>
                    </a:solidFill>
                    <a:latin typeface="Segoe UI" panose="020B0502040204020203" pitchFamily="34" charset="0"/>
                    <a:ea typeface="+mn-ea"/>
                    <a:cs typeface="Segoe UI" panose="020B0502040204020203" pitchFamily="34" charset="0"/>
                  </a:defRPr>
                </a:pPr>
                <a:r>
                  <a:rPr lang="en-US" sz="2800" b="1" baseline="0">
                    <a:solidFill>
                      <a:srgbClr val="F7D3A3"/>
                    </a:solidFill>
                    <a:latin typeface="Segoe UI" panose="020B0502040204020203" pitchFamily="34" charset="0"/>
                    <a:cs typeface="Segoe UI" panose="020B0502040204020203" pitchFamily="34" charset="0"/>
                  </a:rPr>
                  <a:t>Alto </a:t>
                </a:r>
                <a:fld id="{05AECF98-D287-4201-B417-A048B9DD4231}" type="VALUE">
                  <a:rPr lang="en-US" sz="2800" b="1" baseline="0">
                    <a:solidFill>
                      <a:srgbClr val="F7D3A3"/>
                    </a:solidFill>
                    <a:latin typeface="Segoe UI" panose="020B0502040204020203" pitchFamily="34" charset="0"/>
                    <a:cs typeface="Segoe UI" panose="020B0502040204020203" pitchFamily="34" charset="0"/>
                  </a:rPr>
                  <a:pPr>
                    <a:defRPr sz="2800" spc="0">
                      <a:solidFill>
                        <a:srgbClr val="F7D3A3"/>
                      </a:solidFill>
                      <a:latin typeface="Segoe UI" panose="020B0502040204020203" pitchFamily="34" charset="0"/>
                      <a:cs typeface="Segoe UI" panose="020B0502040204020203" pitchFamily="34" charset="0"/>
                    </a:defRPr>
                  </a:pPr>
                  <a:t>[VALUE]</a:t>
                </a:fld>
                <a:endParaRPr lang="en-US" sz="2800" b="1" baseline="0">
                  <a:solidFill>
                    <a:srgbClr val="F7D3A3"/>
                  </a:solidFill>
                  <a:latin typeface="Segoe UI" panose="020B0502040204020203" pitchFamily="34" charset="0"/>
                  <a:cs typeface="Segoe UI" panose="020B0502040204020203" pitchFamily="34" charset="0"/>
                </a:endParaRPr>
              </a:p>
            </c:rich>
          </c:tx>
          <c:spPr>
            <a:noFill/>
            <a:ln>
              <a:noFill/>
            </a:ln>
            <a:effectLst/>
          </c:spPr>
          <c:txPr>
            <a:bodyPr rot="0" spcFirstLastPara="1" vertOverflow="clip" horzOverflow="clip" vert="horz" wrap="square" lIns="38100" tIns="19050" rIns="38100" bIns="19050" anchor="ctr" anchorCtr="1">
              <a:spAutoFit/>
            </a:bodyPr>
            <a:lstStyle/>
            <a:p>
              <a:pPr>
                <a:defRPr sz="2800" b="1" i="0" u="none" strike="noStrike" kern="1200" spc="0" baseline="0">
                  <a:solidFill>
                    <a:srgbClr val="F7D3A3"/>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10"/>
        <c:spPr>
          <a:solidFill>
            <a:srgbClr val="520235"/>
          </a:solidFill>
          <a:ln>
            <a:solidFill>
              <a:schemeClr val="tx1"/>
            </a:solidFill>
          </a:ln>
          <a:effectLst>
            <a:outerShdw blurRad="63500" sx="102000" sy="102000" algn="ctr" rotWithShape="0">
              <a:prstClr val="black">
                <a:alpha val="20000"/>
              </a:prstClr>
            </a:outerShdw>
          </a:effectLst>
        </c:spPr>
        <c:dLbl>
          <c:idx val="0"/>
          <c:layout>
            <c:manualLayout>
              <c:x val="6.6704979041798812E-2"/>
              <c:y val="-1.9102196752626553E-2"/>
            </c:manualLayout>
          </c:layout>
          <c:tx>
            <c:rich>
              <a:bodyPr rot="0" spcFirstLastPara="1" vertOverflow="clip" horzOverflow="clip" vert="horz" wrap="square" lIns="38100" tIns="19050" rIns="38100" bIns="19050" anchor="ctr" anchorCtr="1">
                <a:spAutoFit/>
              </a:bodyPr>
              <a:lstStyle/>
              <a:p>
                <a:pPr>
                  <a:defRPr sz="2800" b="1" i="0" u="none" strike="noStrike" kern="1200" spc="0" baseline="0">
                    <a:solidFill>
                      <a:srgbClr val="F7D3A3"/>
                    </a:solidFill>
                    <a:latin typeface="Segoe UI" panose="020B0502040204020203" pitchFamily="34" charset="0"/>
                    <a:ea typeface="+mn-ea"/>
                    <a:cs typeface="Segoe UI" panose="020B0502040204020203" pitchFamily="34" charset="0"/>
                  </a:defRPr>
                </a:pPr>
                <a:r>
                  <a:rPr lang="en-US" sz="2800" b="1" baseline="0">
                    <a:solidFill>
                      <a:srgbClr val="F7D3A3"/>
                    </a:solidFill>
                    <a:latin typeface="Segoe UI" panose="020B0502040204020203" pitchFamily="34" charset="0"/>
                    <a:cs typeface="Segoe UI" panose="020B0502040204020203" pitchFamily="34" charset="0"/>
                  </a:rPr>
                  <a:t>Bajo </a:t>
                </a:r>
                <a:fld id="{9F868DA3-25AE-4717-A608-EB71F8A69495}" type="VALUE">
                  <a:rPr lang="en-US" sz="2800" b="1" baseline="0">
                    <a:solidFill>
                      <a:srgbClr val="F7D3A3"/>
                    </a:solidFill>
                    <a:latin typeface="Segoe UI" panose="020B0502040204020203" pitchFamily="34" charset="0"/>
                    <a:cs typeface="Segoe UI" panose="020B0502040204020203" pitchFamily="34" charset="0"/>
                  </a:rPr>
                  <a:pPr>
                    <a:defRPr sz="2800" spc="0">
                      <a:solidFill>
                        <a:srgbClr val="F7D3A3"/>
                      </a:solidFill>
                      <a:latin typeface="Segoe UI" panose="020B0502040204020203" pitchFamily="34" charset="0"/>
                      <a:cs typeface="Segoe UI" panose="020B0502040204020203" pitchFamily="34" charset="0"/>
                    </a:defRPr>
                  </a:pPr>
                  <a:t>[VALUE]</a:t>
                </a:fld>
                <a:endParaRPr lang="en-US" sz="2800" b="1" baseline="0">
                  <a:solidFill>
                    <a:srgbClr val="F7D3A3"/>
                  </a:solidFill>
                  <a:latin typeface="Segoe UI" panose="020B0502040204020203" pitchFamily="34" charset="0"/>
                  <a:cs typeface="Segoe UI" panose="020B0502040204020203" pitchFamily="34" charset="0"/>
                </a:endParaRPr>
              </a:p>
            </c:rich>
          </c:tx>
          <c:spPr>
            <a:noFill/>
            <a:ln>
              <a:noFill/>
            </a:ln>
            <a:effectLst/>
          </c:spPr>
          <c:txPr>
            <a:bodyPr rot="0" spcFirstLastPara="1" vertOverflow="clip" horzOverflow="clip" vert="horz" wrap="square" lIns="38100" tIns="19050" rIns="38100" bIns="19050" anchor="ctr" anchorCtr="1">
              <a:spAutoFit/>
            </a:bodyPr>
            <a:lstStyle/>
            <a:p>
              <a:pPr>
                <a:defRPr sz="2800" b="1" i="0" u="none" strike="noStrike" kern="1200" spc="0" baseline="0">
                  <a:solidFill>
                    <a:srgbClr val="F7D3A3"/>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11"/>
        <c:spPr>
          <a:solidFill>
            <a:srgbClr val="7C0628"/>
          </a:solidFill>
          <a:ln>
            <a:noFill/>
          </a:ln>
          <a:effectLst>
            <a:outerShdw blurRad="63500" sx="102000" sy="102000" algn="ctr" rotWithShape="0">
              <a:prstClr val="black">
                <a:alpha val="20000"/>
              </a:prstClr>
            </a:outerShdw>
          </a:effectLst>
        </c:spPr>
        <c:dLbl>
          <c:idx val="0"/>
          <c:layout>
            <c:manualLayout>
              <c:x val="-1.0907039605123969E-2"/>
              <c:y val="-6.5842640013837814E-2"/>
            </c:manualLayout>
          </c:layout>
          <c:tx>
            <c:rich>
              <a:bodyPr rot="0" spcFirstLastPara="1" vertOverflow="clip" horzOverflow="clip" vert="horz" wrap="square" lIns="38100" tIns="19050" rIns="38100" bIns="19050" anchor="ctr" anchorCtr="1">
                <a:spAutoFit/>
              </a:bodyPr>
              <a:lstStyle/>
              <a:p>
                <a:pPr>
                  <a:defRPr sz="2800" b="1" i="0" u="none" strike="noStrike" kern="1200" spc="0" baseline="0">
                    <a:solidFill>
                      <a:srgbClr val="F7D3A3"/>
                    </a:solidFill>
                    <a:latin typeface="Segoe UI" panose="020B0502040204020203" pitchFamily="34" charset="0"/>
                    <a:ea typeface="+mn-ea"/>
                    <a:cs typeface="Segoe UI" panose="020B0502040204020203" pitchFamily="34" charset="0"/>
                  </a:defRPr>
                </a:pPr>
                <a:r>
                  <a:rPr lang="en-US" sz="2800" b="1" baseline="0">
                    <a:solidFill>
                      <a:srgbClr val="F7D3A3"/>
                    </a:solidFill>
                    <a:latin typeface="Segoe UI" panose="020B0502040204020203" pitchFamily="34" charset="0"/>
                    <a:cs typeface="Segoe UI" panose="020B0502040204020203" pitchFamily="34" charset="0"/>
                  </a:rPr>
                  <a:t>Medio </a:t>
                </a:r>
                <a:fld id="{E1B0DB1A-0276-4F51-8A13-D7DA4144FE76}" type="VALUE">
                  <a:rPr lang="en-US" sz="2800" b="1" baseline="0">
                    <a:solidFill>
                      <a:srgbClr val="F7D3A3"/>
                    </a:solidFill>
                    <a:latin typeface="Segoe UI" panose="020B0502040204020203" pitchFamily="34" charset="0"/>
                    <a:cs typeface="Segoe UI" panose="020B0502040204020203" pitchFamily="34" charset="0"/>
                  </a:rPr>
                  <a:pPr>
                    <a:defRPr sz="2800" spc="0">
                      <a:solidFill>
                        <a:srgbClr val="F7D3A3"/>
                      </a:solidFill>
                      <a:latin typeface="Segoe UI" panose="020B0502040204020203" pitchFamily="34" charset="0"/>
                      <a:cs typeface="Segoe UI" panose="020B0502040204020203" pitchFamily="34" charset="0"/>
                    </a:defRPr>
                  </a:pPr>
                  <a:t>[VALUE]</a:t>
                </a:fld>
                <a:endParaRPr lang="en-US" sz="2800" b="1" baseline="0">
                  <a:solidFill>
                    <a:srgbClr val="F7D3A3"/>
                  </a:solidFill>
                  <a:latin typeface="Segoe UI" panose="020B0502040204020203" pitchFamily="34" charset="0"/>
                  <a:cs typeface="Segoe UI" panose="020B0502040204020203" pitchFamily="34" charset="0"/>
                </a:endParaRPr>
              </a:p>
            </c:rich>
          </c:tx>
          <c:spPr>
            <a:noFill/>
            <a:ln>
              <a:noFill/>
            </a:ln>
            <a:effectLst/>
          </c:spPr>
          <c:txPr>
            <a:bodyPr rot="0" spcFirstLastPara="1" vertOverflow="clip" horzOverflow="clip" vert="horz" wrap="square" lIns="38100" tIns="19050" rIns="38100" bIns="19050" anchor="ctr" anchorCtr="1">
              <a:spAutoFit/>
            </a:bodyPr>
            <a:lstStyle/>
            <a:p>
              <a:pPr>
                <a:defRPr sz="2800" b="1" i="0" u="none" strike="noStrike" kern="1200" spc="0" baseline="0">
                  <a:solidFill>
                    <a:srgbClr val="F7D3A3"/>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6240813648293965"/>
                  <c:h val="0.24721233689205216"/>
                </c:manualLayout>
              </c15:layout>
              <c15:dlblFieldTable/>
              <c15:showDataLabelsRange val="0"/>
            </c:ext>
          </c:extLst>
        </c:dLbl>
      </c:pivotFmt>
    </c:pivotFmts>
    <c:plotArea>
      <c:layout>
        <c:manualLayout>
          <c:layoutTarget val="inner"/>
          <c:xMode val="edge"/>
          <c:yMode val="edge"/>
          <c:x val="0.18449664130966681"/>
          <c:y val="3.165765311364549E-2"/>
          <c:w val="0.52374660794519323"/>
          <c:h val="0.87974519199334944"/>
        </c:manualLayout>
      </c:layout>
      <c:doughnutChart>
        <c:varyColors val="1"/>
        <c:ser>
          <c:idx val="0"/>
          <c:order val="0"/>
          <c:tx>
            <c:strRef>
              <c:f>Graficos!$W$11</c:f>
              <c:strCache>
                <c:ptCount val="1"/>
                <c:pt idx="0">
                  <c:v>Total</c:v>
                </c:pt>
              </c:strCache>
            </c:strRef>
          </c:tx>
          <c:spPr>
            <a:noFill/>
          </c:spPr>
          <c:dPt>
            <c:idx val="0"/>
            <c:bubble3D val="0"/>
            <c:spPr>
              <a:solidFill>
                <a:srgbClr val="F20E0E"/>
              </a:solidFill>
              <a:ln>
                <a:solidFill>
                  <a:schemeClr val="tx1"/>
                </a:solidFill>
              </a:ln>
              <a:effectLst>
                <a:outerShdw sx="1000" sy="1000" algn="ctr" rotWithShape="0">
                  <a:prstClr val="black"/>
                </a:outerShdw>
              </a:effectLst>
            </c:spPr>
            <c:extLst>
              <c:ext xmlns:c16="http://schemas.microsoft.com/office/drawing/2014/chart" uri="{C3380CC4-5D6E-409C-BE32-E72D297353CC}">
                <c16:uniqueId val="{00000001-EFE2-41AA-9C11-FA1E5DC8C48D}"/>
              </c:ext>
            </c:extLst>
          </c:dPt>
          <c:dPt>
            <c:idx val="1"/>
            <c:bubble3D val="0"/>
            <c:spPr>
              <a:solidFill>
                <a:srgbClr val="520235"/>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EFE2-41AA-9C11-FA1E5DC8C48D}"/>
              </c:ext>
            </c:extLst>
          </c:dPt>
          <c:dPt>
            <c:idx val="2"/>
            <c:bubble3D val="0"/>
            <c:spPr>
              <a:solidFill>
                <a:srgbClr val="7C0628"/>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EFE2-41AA-9C11-FA1E5DC8C48D}"/>
              </c:ext>
            </c:extLst>
          </c:dPt>
          <c:dLbls>
            <c:dLbl>
              <c:idx val="0"/>
              <c:layout>
                <c:manualLayout>
                  <c:x val="4.8271947349864848E-2"/>
                  <c:y val="-6.8767908309455603E-2"/>
                </c:manualLayout>
              </c:layout>
              <c:tx>
                <c:rich>
                  <a:bodyPr rot="0" spcFirstLastPara="1" vertOverflow="clip" horzOverflow="clip" vert="horz" wrap="square" lIns="38100" tIns="19050" rIns="38100" bIns="19050" anchor="ctr" anchorCtr="1">
                    <a:spAutoFit/>
                  </a:bodyPr>
                  <a:lstStyle/>
                  <a:p>
                    <a:pPr>
                      <a:defRPr sz="2800" b="1" i="0" u="none" strike="noStrike" kern="1200" spc="0" baseline="0">
                        <a:solidFill>
                          <a:srgbClr val="F7D3A3"/>
                        </a:solidFill>
                        <a:latin typeface="Segoe UI" panose="020B0502040204020203" pitchFamily="34" charset="0"/>
                        <a:ea typeface="+mn-ea"/>
                        <a:cs typeface="Segoe UI" panose="020B0502040204020203" pitchFamily="34" charset="0"/>
                      </a:defRPr>
                    </a:pPr>
                    <a:r>
                      <a:rPr lang="en-US" sz="2800" b="1" baseline="0">
                        <a:solidFill>
                          <a:srgbClr val="F7D3A3"/>
                        </a:solidFill>
                        <a:latin typeface="Segoe UI" panose="020B0502040204020203" pitchFamily="34" charset="0"/>
                        <a:cs typeface="Segoe UI" panose="020B0502040204020203" pitchFamily="34" charset="0"/>
                      </a:rPr>
                      <a:t>Alto </a:t>
                    </a:r>
                    <a:fld id="{05AECF98-D287-4201-B417-A048B9DD4231}" type="VALUE">
                      <a:rPr lang="en-US" sz="2800" b="1" baseline="0">
                        <a:solidFill>
                          <a:srgbClr val="F7D3A3"/>
                        </a:solidFill>
                        <a:latin typeface="Segoe UI" panose="020B0502040204020203" pitchFamily="34" charset="0"/>
                        <a:cs typeface="Segoe UI" panose="020B0502040204020203" pitchFamily="34" charset="0"/>
                      </a:rPr>
                      <a:pPr>
                        <a:defRPr sz="2800" spc="0">
                          <a:solidFill>
                            <a:srgbClr val="F7D3A3"/>
                          </a:solidFill>
                          <a:latin typeface="Segoe UI" panose="020B0502040204020203" pitchFamily="34" charset="0"/>
                          <a:cs typeface="Segoe UI" panose="020B0502040204020203" pitchFamily="34" charset="0"/>
                        </a:defRPr>
                      </a:pPr>
                      <a:t>[VALUE]</a:t>
                    </a:fld>
                    <a:endParaRPr lang="en-US" sz="2800" b="1" baseline="0">
                      <a:solidFill>
                        <a:srgbClr val="F7D3A3"/>
                      </a:solidFill>
                      <a:latin typeface="Segoe UI" panose="020B0502040204020203" pitchFamily="34" charset="0"/>
                      <a:cs typeface="Segoe UI" panose="020B0502040204020203" pitchFamily="34" charset="0"/>
                    </a:endParaRPr>
                  </a:p>
                </c:rich>
              </c:tx>
              <c:spPr>
                <a:noFill/>
                <a:ln>
                  <a:noFill/>
                </a:ln>
                <a:effectLst/>
              </c:spPr>
              <c:txPr>
                <a:bodyPr rot="0" spcFirstLastPara="1" vertOverflow="clip" horzOverflow="clip" vert="horz" wrap="square" lIns="38100" tIns="19050" rIns="38100" bIns="19050" anchor="ctr" anchorCtr="1">
                  <a:spAutoFit/>
                </a:bodyPr>
                <a:lstStyle/>
                <a:p>
                  <a:pPr>
                    <a:defRPr sz="2800" b="1" i="0" u="none" strike="noStrike" kern="1200" spc="0" baseline="0">
                      <a:solidFill>
                        <a:srgbClr val="F7D3A3"/>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 xmlns:c16="http://schemas.microsoft.com/office/drawing/2014/chart" uri="{C3380CC4-5D6E-409C-BE32-E72D297353CC}">
                  <c16:uniqueId val="{00000001-EFE2-41AA-9C11-FA1E5DC8C48D}"/>
                </c:ext>
              </c:extLst>
            </c:dLbl>
            <c:dLbl>
              <c:idx val="1"/>
              <c:layout>
                <c:manualLayout>
                  <c:x val="6.6704979041798812E-2"/>
                  <c:y val="-1.9102196752626553E-2"/>
                </c:manualLayout>
              </c:layout>
              <c:tx>
                <c:rich>
                  <a:bodyPr rot="0" spcFirstLastPara="1" vertOverflow="clip" horzOverflow="clip" vert="horz" wrap="square" lIns="38100" tIns="19050" rIns="38100" bIns="19050" anchor="ctr" anchorCtr="1">
                    <a:spAutoFit/>
                  </a:bodyPr>
                  <a:lstStyle/>
                  <a:p>
                    <a:pPr>
                      <a:defRPr sz="2800" b="1" i="0" u="none" strike="noStrike" kern="1200" spc="0" baseline="0">
                        <a:solidFill>
                          <a:srgbClr val="F7D3A3"/>
                        </a:solidFill>
                        <a:latin typeface="Segoe UI" panose="020B0502040204020203" pitchFamily="34" charset="0"/>
                        <a:ea typeface="+mn-ea"/>
                        <a:cs typeface="Segoe UI" panose="020B0502040204020203" pitchFamily="34" charset="0"/>
                      </a:defRPr>
                    </a:pPr>
                    <a:r>
                      <a:rPr lang="en-US" sz="2800" b="1" baseline="0">
                        <a:solidFill>
                          <a:srgbClr val="F7D3A3"/>
                        </a:solidFill>
                        <a:latin typeface="Segoe UI" panose="020B0502040204020203" pitchFamily="34" charset="0"/>
                        <a:cs typeface="Segoe UI" panose="020B0502040204020203" pitchFamily="34" charset="0"/>
                      </a:rPr>
                      <a:t>Bajo </a:t>
                    </a:r>
                    <a:fld id="{9F868DA3-25AE-4717-A608-EB71F8A69495}" type="VALUE">
                      <a:rPr lang="en-US" sz="2800" b="1" baseline="0">
                        <a:solidFill>
                          <a:srgbClr val="F7D3A3"/>
                        </a:solidFill>
                        <a:latin typeface="Segoe UI" panose="020B0502040204020203" pitchFamily="34" charset="0"/>
                        <a:cs typeface="Segoe UI" panose="020B0502040204020203" pitchFamily="34" charset="0"/>
                      </a:rPr>
                      <a:pPr>
                        <a:defRPr sz="2800" spc="0">
                          <a:solidFill>
                            <a:srgbClr val="F7D3A3"/>
                          </a:solidFill>
                          <a:latin typeface="Segoe UI" panose="020B0502040204020203" pitchFamily="34" charset="0"/>
                          <a:cs typeface="Segoe UI" panose="020B0502040204020203" pitchFamily="34" charset="0"/>
                        </a:defRPr>
                      </a:pPr>
                      <a:t>[VALUE]</a:t>
                    </a:fld>
                    <a:endParaRPr lang="en-US" sz="2800" b="1" baseline="0">
                      <a:solidFill>
                        <a:srgbClr val="F7D3A3"/>
                      </a:solidFill>
                      <a:latin typeface="Segoe UI" panose="020B0502040204020203" pitchFamily="34" charset="0"/>
                      <a:cs typeface="Segoe UI" panose="020B0502040204020203" pitchFamily="34" charset="0"/>
                    </a:endParaRPr>
                  </a:p>
                </c:rich>
              </c:tx>
              <c:spPr>
                <a:noFill/>
                <a:ln>
                  <a:noFill/>
                </a:ln>
                <a:effectLst/>
              </c:spPr>
              <c:txPr>
                <a:bodyPr rot="0" spcFirstLastPara="1" vertOverflow="clip" horzOverflow="clip" vert="horz" wrap="square" lIns="38100" tIns="19050" rIns="38100" bIns="19050" anchor="ctr" anchorCtr="1">
                  <a:spAutoFit/>
                </a:bodyPr>
                <a:lstStyle/>
                <a:p>
                  <a:pPr>
                    <a:defRPr sz="2800" b="1" i="0" u="none" strike="noStrike" kern="1200" spc="0" baseline="0">
                      <a:solidFill>
                        <a:srgbClr val="F7D3A3"/>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 xmlns:c16="http://schemas.microsoft.com/office/drawing/2014/chart" uri="{C3380CC4-5D6E-409C-BE32-E72D297353CC}">
                  <c16:uniqueId val="{00000003-EFE2-41AA-9C11-FA1E5DC8C48D}"/>
                </c:ext>
              </c:extLst>
            </c:dLbl>
            <c:dLbl>
              <c:idx val="2"/>
              <c:layout>
                <c:manualLayout>
                  <c:x val="-1.0907039605123969E-2"/>
                  <c:y val="-6.5842640013837814E-2"/>
                </c:manualLayout>
              </c:layout>
              <c:tx>
                <c:rich>
                  <a:bodyPr rot="0" spcFirstLastPara="1" vertOverflow="clip" horzOverflow="clip" vert="horz" wrap="square" lIns="38100" tIns="19050" rIns="38100" bIns="19050" anchor="ctr" anchorCtr="1">
                    <a:spAutoFit/>
                  </a:bodyPr>
                  <a:lstStyle/>
                  <a:p>
                    <a:pPr>
                      <a:defRPr sz="2800" b="1" i="0" u="none" strike="noStrike" kern="1200" spc="0" baseline="0">
                        <a:solidFill>
                          <a:srgbClr val="F7D3A3"/>
                        </a:solidFill>
                        <a:latin typeface="Segoe UI" panose="020B0502040204020203" pitchFamily="34" charset="0"/>
                        <a:ea typeface="+mn-ea"/>
                        <a:cs typeface="Segoe UI" panose="020B0502040204020203" pitchFamily="34" charset="0"/>
                      </a:defRPr>
                    </a:pPr>
                    <a:r>
                      <a:rPr lang="en-US" sz="2800" b="1" baseline="0">
                        <a:solidFill>
                          <a:srgbClr val="F7D3A3"/>
                        </a:solidFill>
                        <a:latin typeface="Segoe UI" panose="020B0502040204020203" pitchFamily="34" charset="0"/>
                        <a:cs typeface="Segoe UI" panose="020B0502040204020203" pitchFamily="34" charset="0"/>
                      </a:rPr>
                      <a:t>Medio </a:t>
                    </a:r>
                    <a:fld id="{E1B0DB1A-0276-4F51-8A13-D7DA4144FE76}" type="VALUE">
                      <a:rPr lang="en-US" sz="2800" b="1" baseline="0">
                        <a:solidFill>
                          <a:srgbClr val="F7D3A3"/>
                        </a:solidFill>
                        <a:latin typeface="Segoe UI" panose="020B0502040204020203" pitchFamily="34" charset="0"/>
                        <a:cs typeface="Segoe UI" panose="020B0502040204020203" pitchFamily="34" charset="0"/>
                      </a:rPr>
                      <a:pPr>
                        <a:defRPr sz="2800" spc="0">
                          <a:solidFill>
                            <a:srgbClr val="F7D3A3"/>
                          </a:solidFill>
                          <a:latin typeface="Segoe UI" panose="020B0502040204020203" pitchFamily="34" charset="0"/>
                          <a:cs typeface="Segoe UI" panose="020B0502040204020203" pitchFamily="34" charset="0"/>
                        </a:defRPr>
                      </a:pPr>
                      <a:t>[VALUE]</a:t>
                    </a:fld>
                    <a:endParaRPr lang="en-US" sz="2800" b="1" baseline="0">
                      <a:solidFill>
                        <a:srgbClr val="F7D3A3"/>
                      </a:solidFill>
                      <a:latin typeface="Segoe UI" panose="020B0502040204020203" pitchFamily="34" charset="0"/>
                      <a:cs typeface="Segoe UI" panose="020B0502040204020203" pitchFamily="34" charset="0"/>
                    </a:endParaRPr>
                  </a:p>
                </c:rich>
              </c:tx>
              <c:spPr>
                <a:noFill/>
                <a:ln>
                  <a:noFill/>
                </a:ln>
                <a:effectLst/>
              </c:spPr>
              <c:txPr>
                <a:bodyPr rot="0" spcFirstLastPara="1" vertOverflow="clip" horzOverflow="clip" vert="horz" wrap="square" lIns="38100" tIns="19050" rIns="38100" bIns="19050" anchor="ctr" anchorCtr="1">
                  <a:spAutoFit/>
                </a:bodyPr>
                <a:lstStyle/>
                <a:p>
                  <a:pPr>
                    <a:defRPr sz="2800" b="1" i="0" u="none" strike="noStrike" kern="1200" spc="0" baseline="0">
                      <a:solidFill>
                        <a:srgbClr val="F7D3A3"/>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6240813648293965"/>
                      <c:h val="0.24721233689205216"/>
                    </c:manualLayout>
                  </c15:layout>
                  <c15:dlblFieldTable/>
                  <c15:showDataLabelsRange val="0"/>
                </c:ext>
                <c:ext xmlns:c16="http://schemas.microsoft.com/office/drawing/2014/chart" uri="{C3380CC4-5D6E-409C-BE32-E72D297353CC}">
                  <c16:uniqueId val="{00000005-EFE2-41AA-9C11-FA1E5DC8C48D}"/>
                </c:ext>
              </c:extLst>
            </c:dLbl>
            <c:spPr>
              <a:noFill/>
              <a:ln>
                <a:noFill/>
              </a:ln>
              <a:effectLst/>
            </c:spPr>
            <c:txPr>
              <a:bodyPr rot="0" spcFirstLastPara="1" vertOverflow="clip" horzOverflow="clip" vert="horz" wrap="square" lIns="38100" tIns="19050" rIns="38100" bIns="19050" anchor="ctr" anchorCtr="1">
                <a:spAutoFit/>
              </a:bodyPr>
              <a:lstStyle/>
              <a:p>
                <a:pPr>
                  <a:defRPr sz="2800" b="1" i="0" u="none" strike="noStrike" kern="1200" spc="0" baseline="0">
                    <a:solidFill>
                      <a:srgbClr val="F7D3A3"/>
                    </a:solidFill>
                    <a:latin typeface="Segoe UI" panose="020B0502040204020203" pitchFamily="34" charset="0"/>
                    <a:ea typeface="+mn-ea"/>
                    <a:cs typeface="Segoe UI" panose="020B0502040204020203" pitchFamily="34" charset="0"/>
                  </a:defRPr>
                </a:pPr>
                <a:endParaRPr lang="es-AR"/>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Graficos!$V$12:$V$15</c:f>
              <c:strCache>
                <c:ptCount val="3"/>
                <c:pt idx="0">
                  <c:v>ALTO</c:v>
                </c:pt>
                <c:pt idx="1">
                  <c:v>BAJO</c:v>
                </c:pt>
                <c:pt idx="2">
                  <c:v>MEDIO</c:v>
                </c:pt>
              </c:strCache>
            </c:strRef>
          </c:cat>
          <c:val>
            <c:numRef>
              <c:f>Graficos!$W$12:$W$15</c:f>
              <c:numCache>
                <c:formatCode>0.00%</c:formatCode>
                <c:ptCount val="3"/>
                <c:pt idx="0">
                  <c:v>0.28000000000000003</c:v>
                </c:pt>
                <c:pt idx="1">
                  <c:v>0.38</c:v>
                </c:pt>
                <c:pt idx="2">
                  <c:v>0.34</c:v>
                </c:pt>
              </c:numCache>
            </c:numRef>
          </c:val>
          <c:extLst>
            <c:ext xmlns:c16="http://schemas.microsoft.com/office/drawing/2014/chart" uri="{C3380CC4-5D6E-409C-BE32-E72D297353CC}">
              <c16:uniqueId val="{00000006-EFE2-41AA-9C11-FA1E5DC8C48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361950</xdr:colOff>
      <xdr:row>20</xdr:row>
      <xdr:rowOff>0</xdr:rowOff>
    </xdr:from>
    <xdr:to>
      <xdr:col>21</xdr:col>
      <xdr:colOff>514350</xdr:colOff>
      <xdr:row>55</xdr:row>
      <xdr:rowOff>19050</xdr:rowOff>
    </xdr:to>
    <xdr:sp macro="" textlink="">
      <xdr:nvSpPr>
        <xdr:cNvPr id="26" name="Rectangle 25">
          <a:extLst>
            <a:ext uri="{FF2B5EF4-FFF2-40B4-BE49-F238E27FC236}">
              <a16:creationId xmlns:a16="http://schemas.microsoft.com/office/drawing/2014/main" id="{B7E4964F-4D2C-E110-05B8-834EBF9D2F98}"/>
            </a:ext>
          </a:extLst>
        </xdr:cNvPr>
        <xdr:cNvSpPr/>
      </xdr:nvSpPr>
      <xdr:spPr>
        <a:xfrm>
          <a:off x="3409950" y="3810000"/>
          <a:ext cx="9906000" cy="6686550"/>
        </a:xfrm>
        <a:prstGeom prst="rect">
          <a:avLst/>
        </a:prstGeom>
        <a:solidFill>
          <a:srgbClr val="0E020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s-AR" sz="2400" b="1">
              <a:latin typeface="Segoe UI" panose="020B0502040204020203" pitchFamily="34" charset="0"/>
              <a:cs typeface="Segoe UI" panose="020B0502040204020203" pitchFamily="34" charset="0"/>
            </a:rPr>
            <a:t>DISTRIBUCION DE CARTERA POR NIVEL DE RIESGO LA/FT/FP</a:t>
          </a:r>
        </a:p>
      </xdr:txBody>
    </xdr:sp>
    <xdr:clientData/>
  </xdr:twoCellAnchor>
  <xdr:twoCellAnchor>
    <xdr:from>
      <xdr:col>5</xdr:col>
      <xdr:colOff>342900</xdr:colOff>
      <xdr:row>0</xdr:row>
      <xdr:rowOff>95250</xdr:rowOff>
    </xdr:from>
    <xdr:to>
      <xdr:col>13</xdr:col>
      <xdr:colOff>285750</xdr:colOff>
      <xdr:row>19</xdr:row>
      <xdr:rowOff>19050</xdr:rowOff>
    </xdr:to>
    <xdr:sp macro="" textlink="">
      <xdr:nvSpPr>
        <xdr:cNvPr id="4" name="Rectangle 3">
          <a:extLst>
            <a:ext uri="{FF2B5EF4-FFF2-40B4-BE49-F238E27FC236}">
              <a16:creationId xmlns:a16="http://schemas.microsoft.com/office/drawing/2014/main" id="{96EC99D5-DE4D-FE29-43CB-4E501F9EE14F}"/>
            </a:ext>
          </a:extLst>
        </xdr:cNvPr>
        <xdr:cNvSpPr/>
      </xdr:nvSpPr>
      <xdr:spPr>
        <a:xfrm>
          <a:off x="3390900" y="95250"/>
          <a:ext cx="4819650" cy="3543300"/>
        </a:xfrm>
        <a:prstGeom prst="rect">
          <a:avLst/>
        </a:prstGeom>
        <a:solidFill>
          <a:srgbClr val="0E020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s-AR" sz="2400" b="1" cap="none" spc="0">
              <a:ln w="0"/>
              <a:solidFill>
                <a:schemeClr val="bg2"/>
              </a:solidFill>
              <a:effectLst>
                <a:outerShdw blurRad="38100" dist="19050" dir="2700000" algn="tl" rotWithShape="0">
                  <a:schemeClr val="dk1">
                    <a:alpha val="40000"/>
                  </a:schemeClr>
                </a:outerShdw>
              </a:effectLst>
              <a:latin typeface="Segoe UI" panose="020B0502040204020203" pitchFamily="34" charset="0"/>
              <a:cs typeface="Segoe UI" panose="020B0502040204020203" pitchFamily="34" charset="0"/>
            </a:rPr>
            <a:t>TOTAL CLIENTES</a:t>
          </a:r>
          <a:endParaRPr lang="es-AR" sz="2400" b="1" cap="none" spc="0" baseline="0">
            <a:ln w="0"/>
            <a:solidFill>
              <a:schemeClr val="bg2"/>
            </a:solidFill>
            <a:effectLst>
              <a:outerShdw blurRad="38100" dist="19050" dir="2700000" algn="tl" rotWithShape="0">
                <a:schemeClr val="dk1">
                  <a:alpha val="40000"/>
                </a:schemeClr>
              </a:outerShdw>
            </a:effectLst>
            <a:latin typeface="Segoe UI" panose="020B0502040204020203" pitchFamily="34" charset="0"/>
            <a:cs typeface="Segoe UI" panose="020B0502040204020203" pitchFamily="34" charset="0"/>
          </a:endParaRPr>
        </a:p>
        <a:p>
          <a:pPr algn="ctr"/>
          <a:endParaRPr lang="es-AR" sz="2400" b="1" cap="none" spc="0" baseline="0">
            <a:ln w="0"/>
            <a:solidFill>
              <a:srgbClr val="EFA94B"/>
            </a:solidFill>
            <a:effectLst>
              <a:outerShdw blurRad="38100" dist="19050" dir="2700000" algn="tl" rotWithShape="0">
                <a:schemeClr val="dk1">
                  <a:alpha val="40000"/>
                </a:schemeClr>
              </a:outerShdw>
            </a:effectLst>
          </a:endParaRPr>
        </a:p>
        <a:p>
          <a:pPr algn="ctr"/>
          <a:endParaRPr lang="es-AR" sz="2400" b="0" cap="none" spc="0" baseline="0">
            <a:ln w="0"/>
            <a:solidFill>
              <a:srgbClr val="EFA94B"/>
            </a:solidFill>
            <a:effectLst>
              <a:outerShdw blurRad="38100" dist="19050" dir="2700000" algn="tl" rotWithShape="0">
                <a:schemeClr val="dk1">
                  <a:alpha val="40000"/>
                </a:schemeClr>
              </a:outerShdw>
            </a:effectLst>
          </a:endParaRPr>
        </a:p>
        <a:p>
          <a:pPr algn="ctr"/>
          <a:endParaRPr lang="es-AR" sz="2400" b="0" cap="none" spc="0" baseline="0">
            <a:ln w="0"/>
            <a:solidFill>
              <a:srgbClr val="EFA94B"/>
            </a:solidFill>
            <a:effectLst>
              <a:outerShdw blurRad="38100" dist="19050" dir="2700000" algn="tl" rotWithShape="0">
                <a:schemeClr val="dk1">
                  <a:alpha val="40000"/>
                </a:schemeClr>
              </a:outerShdw>
            </a:effectLst>
          </a:endParaRPr>
        </a:p>
        <a:p>
          <a:pPr algn="ctr"/>
          <a:endParaRPr lang="es-AR" sz="2400" b="0" cap="none" spc="0" baseline="0">
            <a:ln w="0"/>
            <a:solidFill>
              <a:srgbClr val="EFA94B"/>
            </a:solidFill>
            <a:effectLst>
              <a:outerShdw blurRad="38100" dist="19050" dir="2700000" algn="tl" rotWithShape="0">
                <a:schemeClr val="dk1">
                  <a:alpha val="40000"/>
                </a:schemeClr>
              </a:outerShdw>
            </a:effectLst>
          </a:endParaRPr>
        </a:p>
        <a:p>
          <a:pPr algn="ctr"/>
          <a:endParaRPr lang="es-AR" sz="2400" b="0" cap="none" spc="0">
            <a:ln w="0"/>
            <a:solidFill>
              <a:srgbClr val="EFA94B"/>
            </a:solidFill>
            <a:effectLst>
              <a:outerShdw blurRad="38100" dist="19050" dir="2700000" algn="tl" rotWithShape="0">
                <a:schemeClr val="dk1">
                  <a:alpha val="40000"/>
                </a:schemeClr>
              </a:outerShdw>
            </a:effectLst>
          </a:endParaRPr>
        </a:p>
      </xdr:txBody>
    </xdr:sp>
    <xdr:clientData/>
  </xdr:twoCellAnchor>
  <xdr:twoCellAnchor>
    <xdr:from>
      <xdr:col>13</xdr:col>
      <xdr:colOff>533400</xdr:colOff>
      <xdr:row>0</xdr:row>
      <xdr:rowOff>95250</xdr:rowOff>
    </xdr:from>
    <xdr:to>
      <xdr:col>21</xdr:col>
      <xdr:colOff>476250</xdr:colOff>
      <xdr:row>19</xdr:row>
      <xdr:rowOff>19050</xdr:rowOff>
    </xdr:to>
    <xdr:sp macro="" textlink="">
      <xdr:nvSpPr>
        <xdr:cNvPr id="16" name="Rectangle 15">
          <a:extLst>
            <a:ext uri="{FF2B5EF4-FFF2-40B4-BE49-F238E27FC236}">
              <a16:creationId xmlns:a16="http://schemas.microsoft.com/office/drawing/2014/main" id="{B9DBE562-0ACE-46BF-ADFD-030702DF7006}"/>
            </a:ext>
          </a:extLst>
        </xdr:cNvPr>
        <xdr:cNvSpPr/>
      </xdr:nvSpPr>
      <xdr:spPr>
        <a:xfrm>
          <a:off x="8458200" y="95250"/>
          <a:ext cx="4819650" cy="3543300"/>
        </a:xfrm>
        <a:prstGeom prst="rect">
          <a:avLst/>
        </a:prstGeom>
        <a:solidFill>
          <a:srgbClr val="0E020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s-AR" sz="2400" b="1" cap="none" spc="0">
              <a:ln w="0"/>
              <a:solidFill>
                <a:schemeClr val="bg2"/>
              </a:solidFill>
              <a:effectLst>
                <a:outerShdw blurRad="38100" dist="19050" dir="2700000" algn="tl" rotWithShape="0">
                  <a:schemeClr val="dk1">
                    <a:alpha val="40000"/>
                  </a:schemeClr>
                </a:outerShdw>
              </a:effectLst>
              <a:latin typeface="Segoe UI" panose="020B0502040204020203" pitchFamily="34" charset="0"/>
              <a:ea typeface="+mn-ea"/>
              <a:cs typeface="Segoe UI" panose="020B0502040204020203" pitchFamily="34" charset="0"/>
            </a:rPr>
            <a:t>CLIENTES BAJO RIESGO</a:t>
          </a:r>
        </a:p>
      </xdr:txBody>
    </xdr:sp>
    <xdr:clientData/>
  </xdr:twoCellAnchor>
  <xdr:twoCellAnchor>
    <xdr:from>
      <xdr:col>24</xdr:col>
      <xdr:colOff>0</xdr:colOff>
      <xdr:row>0</xdr:row>
      <xdr:rowOff>95250</xdr:rowOff>
    </xdr:from>
    <xdr:to>
      <xdr:col>31</xdr:col>
      <xdr:colOff>553200</xdr:colOff>
      <xdr:row>19</xdr:row>
      <xdr:rowOff>18150</xdr:rowOff>
    </xdr:to>
    <xdr:sp macro="" textlink="">
      <xdr:nvSpPr>
        <xdr:cNvPr id="17" name="Rectangle 16">
          <a:extLst>
            <a:ext uri="{FF2B5EF4-FFF2-40B4-BE49-F238E27FC236}">
              <a16:creationId xmlns:a16="http://schemas.microsoft.com/office/drawing/2014/main" id="{34CFF5E6-FA1A-42BB-B400-551323B3A6E8}"/>
            </a:ext>
          </a:extLst>
        </xdr:cNvPr>
        <xdr:cNvSpPr/>
      </xdr:nvSpPr>
      <xdr:spPr>
        <a:xfrm>
          <a:off x="13582650" y="95250"/>
          <a:ext cx="4820400" cy="3542400"/>
        </a:xfrm>
        <a:prstGeom prst="rect">
          <a:avLst/>
        </a:prstGeom>
        <a:solidFill>
          <a:srgbClr val="0E020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s-AR" sz="2400" b="1" cap="none" spc="0">
              <a:ln w="0"/>
              <a:solidFill>
                <a:schemeClr val="bg2"/>
              </a:solidFill>
              <a:effectLst>
                <a:outerShdw blurRad="38100" dist="19050" dir="2700000" algn="tl" rotWithShape="0">
                  <a:schemeClr val="dk1">
                    <a:alpha val="40000"/>
                  </a:schemeClr>
                </a:outerShdw>
              </a:effectLst>
              <a:latin typeface="Segoe UI" panose="020B0502040204020203" pitchFamily="34" charset="0"/>
              <a:ea typeface="+mn-ea"/>
              <a:cs typeface="Segoe UI" panose="020B0502040204020203" pitchFamily="34" charset="0"/>
            </a:rPr>
            <a:t>CLIENTES MEDIO RIESGO</a:t>
          </a:r>
        </a:p>
        <a:p>
          <a:pPr marL="0" indent="0" algn="ctr"/>
          <a:endParaRPr lang="es-AR" sz="2400" b="0" cap="none" spc="0">
            <a:ln w="0"/>
            <a:solidFill>
              <a:schemeClr val="bg2"/>
            </a:solidFill>
            <a:effectLst>
              <a:outerShdw blurRad="38100" dist="19050" dir="2700000" algn="tl" rotWithShape="0">
                <a:schemeClr val="dk1">
                  <a:alpha val="40000"/>
                </a:schemeClr>
              </a:outerShdw>
            </a:effectLst>
            <a:latin typeface="Segoe UI" panose="020B0502040204020203" pitchFamily="34" charset="0"/>
            <a:ea typeface="+mn-ea"/>
            <a:cs typeface="Segoe UI" panose="020B0502040204020203" pitchFamily="34" charset="0"/>
          </a:endParaRPr>
        </a:p>
        <a:p>
          <a:pPr marL="0" indent="0" algn="ctr"/>
          <a:endParaRPr lang="es-AR" sz="2400" b="0" cap="none" spc="0">
            <a:ln w="0"/>
            <a:solidFill>
              <a:schemeClr val="bg2"/>
            </a:solidFill>
            <a:effectLst>
              <a:outerShdw blurRad="38100" dist="19050" dir="2700000" algn="tl" rotWithShape="0">
                <a:schemeClr val="dk1">
                  <a:alpha val="40000"/>
                </a:schemeClr>
              </a:outerShdw>
            </a:effectLst>
            <a:latin typeface="Segoe UI" panose="020B0502040204020203" pitchFamily="34" charset="0"/>
            <a:ea typeface="+mn-ea"/>
            <a:cs typeface="Segoe UI" panose="020B0502040204020203" pitchFamily="34" charset="0"/>
          </a:endParaRPr>
        </a:p>
      </xdr:txBody>
    </xdr:sp>
    <xdr:clientData/>
  </xdr:twoCellAnchor>
  <xdr:twoCellAnchor>
    <xdr:from>
      <xdr:col>32</xdr:col>
      <xdr:colOff>76200</xdr:colOff>
      <xdr:row>0</xdr:row>
      <xdr:rowOff>95250</xdr:rowOff>
    </xdr:from>
    <xdr:to>
      <xdr:col>40</xdr:col>
      <xdr:colOff>57900</xdr:colOff>
      <xdr:row>19</xdr:row>
      <xdr:rowOff>18150</xdr:rowOff>
    </xdr:to>
    <xdr:sp macro="" textlink="">
      <xdr:nvSpPr>
        <xdr:cNvPr id="18" name="Rectangle 17">
          <a:extLst>
            <a:ext uri="{FF2B5EF4-FFF2-40B4-BE49-F238E27FC236}">
              <a16:creationId xmlns:a16="http://schemas.microsoft.com/office/drawing/2014/main" id="{7204D50A-96BB-45E0-8920-6D1DAD41D311}"/>
            </a:ext>
          </a:extLst>
        </xdr:cNvPr>
        <xdr:cNvSpPr/>
      </xdr:nvSpPr>
      <xdr:spPr>
        <a:xfrm>
          <a:off x="18478500" y="95250"/>
          <a:ext cx="4820400" cy="3542400"/>
        </a:xfrm>
        <a:prstGeom prst="rect">
          <a:avLst/>
        </a:prstGeom>
        <a:solidFill>
          <a:srgbClr val="0E020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s-AR" sz="2400" b="1" cap="none" spc="0">
              <a:ln w="0"/>
              <a:solidFill>
                <a:schemeClr val="bg2"/>
              </a:solidFill>
              <a:effectLst>
                <a:outerShdw blurRad="38100" dist="19050" dir="2700000" algn="tl" rotWithShape="0">
                  <a:schemeClr val="dk1">
                    <a:alpha val="40000"/>
                  </a:schemeClr>
                </a:outerShdw>
              </a:effectLst>
              <a:latin typeface="Segoe UI" panose="020B0502040204020203" pitchFamily="34" charset="0"/>
              <a:ea typeface="+mn-ea"/>
              <a:cs typeface="Segoe UI" panose="020B0502040204020203" pitchFamily="34" charset="0"/>
            </a:rPr>
            <a:t>CLIENTES ALTO RIESGO</a:t>
          </a:r>
        </a:p>
        <a:p>
          <a:pPr marL="0" indent="0" algn="ctr"/>
          <a:endParaRPr lang="es-AR" sz="2400" b="0" cap="none" spc="0">
            <a:ln w="0"/>
            <a:solidFill>
              <a:schemeClr val="bg2"/>
            </a:solidFill>
            <a:effectLst>
              <a:outerShdw blurRad="38100" dist="19050" dir="2700000" algn="tl" rotWithShape="0">
                <a:schemeClr val="dk1">
                  <a:alpha val="40000"/>
                </a:schemeClr>
              </a:outerShdw>
            </a:effectLst>
            <a:latin typeface="Segoe UI" panose="020B0502040204020203" pitchFamily="34" charset="0"/>
            <a:ea typeface="+mn-ea"/>
            <a:cs typeface="Segoe UI" panose="020B0502040204020203" pitchFamily="34" charset="0"/>
          </a:endParaRPr>
        </a:p>
      </xdr:txBody>
    </xdr:sp>
    <xdr:clientData/>
  </xdr:twoCellAnchor>
  <xdr:twoCellAnchor>
    <xdr:from>
      <xdr:col>6</xdr:col>
      <xdr:colOff>400050</xdr:colOff>
      <xdr:row>4</xdr:row>
      <xdr:rowOff>152400</xdr:rowOff>
    </xdr:from>
    <xdr:to>
      <xdr:col>12</xdr:col>
      <xdr:colOff>57150</xdr:colOff>
      <xdr:row>14</xdr:row>
      <xdr:rowOff>114300</xdr:rowOff>
    </xdr:to>
    <xdr:sp macro="" textlink="Graficos!A11">
      <xdr:nvSpPr>
        <xdr:cNvPr id="21" name="Rectangle 20">
          <a:extLst>
            <a:ext uri="{FF2B5EF4-FFF2-40B4-BE49-F238E27FC236}">
              <a16:creationId xmlns:a16="http://schemas.microsoft.com/office/drawing/2014/main" id="{C7B9A309-E236-4161-B7FD-4DE3FAD4CA9A}"/>
            </a:ext>
          </a:extLst>
        </xdr:cNvPr>
        <xdr:cNvSpPr/>
      </xdr:nvSpPr>
      <xdr:spPr>
        <a:xfrm>
          <a:off x="4057650" y="914400"/>
          <a:ext cx="3314700" cy="1866900"/>
        </a:xfrm>
        <a:prstGeom prst="rect">
          <a:avLst/>
        </a:prstGeom>
        <a:solidFill>
          <a:srgbClr val="0E020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610F908-AF95-455F-A123-C92A31A5EF4B}" type="TxLink">
            <a:rPr lang="en-US" sz="8800" b="0" i="0" u="none" strike="noStrike" cap="none" spc="0" baseline="0">
              <a:ln w="0"/>
              <a:solidFill>
                <a:srgbClr val="F7D3A3"/>
              </a:solidFill>
              <a:effectLst>
                <a:outerShdw blurRad="38100" dist="19050" dir="2700000" algn="tl" rotWithShape="0">
                  <a:schemeClr val="dk1">
                    <a:alpha val="40000"/>
                  </a:schemeClr>
                </a:outerShdw>
              </a:effectLst>
              <a:latin typeface="Segoe UI" panose="020B0502040204020203" pitchFamily="34" charset="0"/>
              <a:cs typeface="Segoe UI" panose="020B0502040204020203" pitchFamily="34" charset="0"/>
            </a:rPr>
            <a:pPr algn="ctr"/>
            <a:t>50</a:t>
          </a:fld>
          <a:endParaRPr lang="es-AR" sz="23900" b="0" cap="none" spc="0">
            <a:ln w="0"/>
            <a:solidFill>
              <a:srgbClr val="F7D3A3"/>
            </a:solidFill>
            <a:effectLst>
              <a:outerShdw blurRad="38100" dist="19050" dir="2700000" algn="tl" rotWithShape="0">
                <a:schemeClr val="dk1">
                  <a:alpha val="40000"/>
                </a:schemeClr>
              </a:outerShdw>
            </a:effectLst>
            <a:latin typeface="Segoe UI" panose="020B0502040204020203" pitchFamily="34" charset="0"/>
            <a:cs typeface="Segoe UI" panose="020B0502040204020203" pitchFamily="34" charset="0"/>
          </a:endParaRPr>
        </a:p>
      </xdr:txBody>
    </xdr:sp>
    <xdr:clientData/>
  </xdr:twoCellAnchor>
  <xdr:twoCellAnchor>
    <xdr:from>
      <xdr:col>14</xdr:col>
      <xdr:colOff>571500</xdr:colOff>
      <xdr:row>4</xdr:row>
      <xdr:rowOff>133350</xdr:rowOff>
    </xdr:from>
    <xdr:to>
      <xdr:col>20</xdr:col>
      <xdr:colOff>228600</xdr:colOff>
      <xdr:row>14</xdr:row>
      <xdr:rowOff>95250</xdr:rowOff>
    </xdr:to>
    <xdr:sp macro="" textlink="Graficos!A2">
      <xdr:nvSpPr>
        <xdr:cNvPr id="22" name="Rectangle 21">
          <a:extLst>
            <a:ext uri="{FF2B5EF4-FFF2-40B4-BE49-F238E27FC236}">
              <a16:creationId xmlns:a16="http://schemas.microsoft.com/office/drawing/2014/main" id="{972890A6-B5E1-4C6B-A362-0D109A2E1F7D}"/>
            </a:ext>
          </a:extLst>
        </xdr:cNvPr>
        <xdr:cNvSpPr/>
      </xdr:nvSpPr>
      <xdr:spPr>
        <a:xfrm>
          <a:off x="9105900" y="895350"/>
          <a:ext cx="3314700" cy="1866900"/>
        </a:xfrm>
        <a:prstGeom prst="rect">
          <a:avLst/>
        </a:prstGeom>
        <a:solidFill>
          <a:srgbClr val="0E020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DFD989F6-A6E8-4953-8274-22CEB9737B7B}" type="TxLink">
            <a:rPr lang="en-US" sz="8800" b="0" i="0" u="none" strike="noStrike" cap="none" spc="0" baseline="0">
              <a:ln w="0"/>
              <a:solidFill>
                <a:srgbClr val="F7D3A3"/>
              </a:solidFill>
              <a:effectLst>
                <a:outerShdw blurRad="38100" dist="19050" dir="2700000" algn="tl" rotWithShape="0">
                  <a:schemeClr val="dk1">
                    <a:alpha val="40000"/>
                  </a:schemeClr>
                </a:outerShdw>
              </a:effectLst>
              <a:latin typeface="Segoe UI" panose="020B0502040204020203" pitchFamily="34" charset="0"/>
              <a:ea typeface="+mn-ea"/>
              <a:cs typeface="Segoe UI" panose="020B0502040204020203" pitchFamily="34" charset="0"/>
            </a:rPr>
            <a:pPr marL="0" indent="0" algn="ctr"/>
            <a:t>19</a:t>
          </a:fld>
          <a:endParaRPr lang="es-AR" sz="8800" b="0" i="0" u="none" strike="noStrike" cap="none" spc="0" baseline="0">
            <a:ln w="0"/>
            <a:solidFill>
              <a:srgbClr val="F7D3A3"/>
            </a:solidFill>
            <a:effectLst>
              <a:outerShdw blurRad="38100" dist="19050" dir="2700000" algn="tl" rotWithShape="0">
                <a:schemeClr val="dk1">
                  <a:alpha val="40000"/>
                </a:schemeClr>
              </a:outerShdw>
            </a:effectLst>
            <a:latin typeface="Segoe UI" panose="020B0502040204020203" pitchFamily="34" charset="0"/>
            <a:ea typeface="+mn-ea"/>
            <a:cs typeface="Segoe UI" panose="020B0502040204020203" pitchFamily="34" charset="0"/>
          </a:endParaRPr>
        </a:p>
      </xdr:txBody>
    </xdr:sp>
    <xdr:clientData/>
  </xdr:twoCellAnchor>
  <xdr:twoCellAnchor>
    <xdr:from>
      <xdr:col>25</xdr:col>
      <xdr:colOff>95250</xdr:colOff>
      <xdr:row>4</xdr:row>
      <xdr:rowOff>133350</xdr:rowOff>
    </xdr:from>
    <xdr:to>
      <xdr:col>30</xdr:col>
      <xdr:colOff>361950</xdr:colOff>
      <xdr:row>14</xdr:row>
      <xdr:rowOff>95250</xdr:rowOff>
    </xdr:to>
    <xdr:sp macro="" textlink="Graficos!A5">
      <xdr:nvSpPr>
        <xdr:cNvPr id="23" name="Rectangle 22">
          <a:extLst>
            <a:ext uri="{FF2B5EF4-FFF2-40B4-BE49-F238E27FC236}">
              <a16:creationId xmlns:a16="http://schemas.microsoft.com/office/drawing/2014/main" id="{4A6715E3-4BB2-45EE-A974-89DBCF11F544}"/>
            </a:ext>
          </a:extLst>
        </xdr:cNvPr>
        <xdr:cNvSpPr/>
      </xdr:nvSpPr>
      <xdr:spPr>
        <a:xfrm>
          <a:off x="14230350" y="895350"/>
          <a:ext cx="3314700" cy="1866900"/>
        </a:xfrm>
        <a:prstGeom prst="rect">
          <a:avLst/>
        </a:prstGeom>
        <a:solidFill>
          <a:srgbClr val="0E020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D6B4EF60-3E22-4060-8385-ADC5791DFC84}" type="TxLink">
            <a:rPr lang="en-US" sz="8800" b="0" i="0" u="none" strike="noStrike" cap="none" spc="0" baseline="0">
              <a:ln w="0"/>
              <a:solidFill>
                <a:srgbClr val="FFC000"/>
              </a:solidFill>
              <a:effectLst>
                <a:outerShdw blurRad="38100" dist="19050" dir="2700000" algn="tl" rotWithShape="0">
                  <a:schemeClr val="dk1">
                    <a:alpha val="40000"/>
                  </a:schemeClr>
                </a:outerShdw>
              </a:effectLst>
              <a:latin typeface="Segoe UI" panose="020B0502040204020203" pitchFamily="34" charset="0"/>
              <a:ea typeface="+mn-ea"/>
              <a:cs typeface="Segoe UI" panose="020B0502040204020203" pitchFamily="34" charset="0"/>
            </a:rPr>
            <a:pPr marL="0" indent="0" algn="ctr"/>
            <a:t>17</a:t>
          </a:fld>
          <a:endParaRPr lang="es-AR" sz="8800" b="0" i="0" u="none" strike="noStrike" cap="none" spc="0" baseline="0">
            <a:ln w="0"/>
            <a:solidFill>
              <a:srgbClr val="FFC000"/>
            </a:solidFill>
            <a:effectLst>
              <a:outerShdw blurRad="38100" dist="19050" dir="2700000" algn="tl" rotWithShape="0">
                <a:schemeClr val="dk1">
                  <a:alpha val="40000"/>
                </a:schemeClr>
              </a:outerShdw>
            </a:effectLst>
            <a:latin typeface="Segoe UI" panose="020B0502040204020203" pitchFamily="34" charset="0"/>
            <a:ea typeface="+mn-ea"/>
            <a:cs typeface="Segoe UI" panose="020B0502040204020203" pitchFamily="34" charset="0"/>
          </a:endParaRPr>
        </a:p>
      </xdr:txBody>
    </xdr:sp>
    <xdr:clientData/>
  </xdr:twoCellAnchor>
  <xdr:twoCellAnchor>
    <xdr:from>
      <xdr:col>33</xdr:col>
      <xdr:colOff>114300</xdr:colOff>
      <xdr:row>4</xdr:row>
      <xdr:rowOff>133350</xdr:rowOff>
    </xdr:from>
    <xdr:to>
      <xdr:col>38</xdr:col>
      <xdr:colOff>381000</xdr:colOff>
      <xdr:row>14</xdr:row>
      <xdr:rowOff>95250</xdr:rowOff>
    </xdr:to>
    <xdr:sp macro="" textlink="Graficos!A8">
      <xdr:nvSpPr>
        <xdr:cNvPr id="24" name="Rectangle 23">
          <a:extLst>
            <a:ext uri="{FF2B5EF4-FFF2-40B4-BE49-F238E27FC236}">
              <a16:creationId xmlns:a16="http://schemas.microsoft.com/office/drawing/2014/main" id="{7AF83D90-A72C-4824-BA6D-14C50175C2FD}"/>
            </a:ext>
          </a:extLst>
        </xdr:cNvPr>
        <xdr:cNvSpPr/>
      </xdr:nvSpPr>
      <xdr:spPr>
        <a:xfrm>
          <a:off x="19126200" y="895350"/>
          <a:ext cx="3314700" cy="1866900"/>
        </a:xfrm>
        <a:prstGeom prst="rect">
          <a:avLst/>
        </a:prstGeom>
        <a:solidFill>
          <a:srgbClr val="0E020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C066B68-7854-4835-8D75-D609B63436C1}" type="TxLink">
            <a:rPr lang="en-US" sz="8800" b="0" i="0" u="none" strike="noStrike" cap="none" spc="0" baseline="0">
              <a:ln w="0"/>
              <a:solidFill>
                <a:srgbClr val="F20E0E"/>
              </a:solidFill>
              <a:effectLst>
                <a:outerShdw blurRad="38100" dist="19050" dir="2700000" algn="tl" rotWithShape="0">
                  <a:schemeClr val="dk1">
                    <a:alpha val="40000"/>
                  </a:schemeClr>
                </a:outerShdw>
              </a:effectLst>
              <a:latin typeface="Segoe UI" panose="020B0502040204020203" pitchFamily="34" charset="0"/>
              <a:ea typeface="+mn-ea"/>
              <a:cs typeface="Segoe UI" panose="020B0502040204020203" pitchFamily="34" charset="0"/>
            </a:rPr>
            <a:pPr marL="0" indent="0" algn="ctr"/>
            <a:t>14</a:t>
          </a:fld>
          <a:endParaRPr lang="es-AR" sz="8800" b="0" i="0" u="none" strike="noStrike" cap="none" spc="0" baseline="0">
            <a:ln w="0"/>
            <a:solidFill>
              <a:srgbClr val="F20E0E"/>
            </a:solidFill>
            <a:effectLst>
              <a:outerShdw blurRad="38100" dist="19050" dir="2700000" algn="tl" rotWithShape="0">
                <a:schemeClr val="dk1">
                  <a:alpha val="40000"/>
                </a:schemeClr>
              </a:outerShdw>
            </a:effectLst>
            <a:latin typeface="Segoe UI" panose="020B0502040204020203" pitchFamily="34" charset="0"/>
            <a:ea typeface="+mn-ea"/>
            <a:cs typeface="Segoe UI" panose="020B0502040204020203" pitchFamily="34" charset="0"/>
          </a:endParaRPr>
        </a:p>
      </xdr:txBody>
    </xdr:sp>
    <xdr:clientData/>
  </xdr:twoCellAnchor>
  <xdr:twoCellAnchor editAs="oneCell">
    <xdr:from>
      <xdr:col>0</xdr:col>
      <xdr:colOff>95250</xdr:colOff>
      <xdr:row>20</xdr:row>
      <xdr:rowOff>152400</xdr:rowOff>
    </xdr:from>
    <xdr:to>
      <xdr:col>4</xdr:col>
      <xdr:colOff>647700</xdr:colOff>
      <xdr:row>29</xdr:row>
      <xdr:rowOff>19050</xdr:rowOff>
    </xdr:to>
    <mc:AlternateContent xmlns:mc="http://schemas.openxmlformats.org/markup-compatibility/2006" xmlns:a14="http://schemas.microsoft.com/office/drawing/2010/main">
      <mc:Choice Requires="a14">
        <xdr:graphicFrame macro="">
          <xdr:nvGraphicFramePr>
            <xdr:cNvPr id="28" name="CANAL_VINCULACION">
              <a:extLst>
                <a:ext uri="{FF2B5EF4-FFF2-40B4-BE49-F238E27FC236}">
                  <a16:creationId xmlns:a16="http://schemas.microsoft.com/office/drawing/2014/main" id="{26790D75-57EF-11EF-9A03-8CEC091FB35E}"/>
                </a:ext>
              </a:extLst>
            </xdr:cNvPr>
            <xdr:cNvGraphicFramePr/>
          </xdr:nvGraphicFramePr>
          <xdr:xfrm>
            <a:off x="0" y="0"/>
            <a:ext cx="0" cy="0"/>
          </xdr:xfrm>
          <a:graphic>
            <a:graphicData uri="http://schemas.microsoft.com/office/drawing/2010/slicer">
              <sle:slicer xmlns:sle="http://schemas.microsoft.com/office/drawing/2010/slicer" name="CANAL_VINCULACION"/>
            </a:graphicData>
          </a:graphic>
        </xdr:graphicFrame>
      </mc:Choice>
      <mc:Fallback xmlns="">
        <xdr:sp macro="" textlink="">
          <xdr:nvSpPr>
            <xdr:cNvPr id="0" name=""/>
            <xdr:cNvSpPr>
              <a:spLocks noTextEdit="1"/>
            </xdr:cNvSpPr>
          </xdr:nvSpPr>
          <xdr:spPr>
            <a:xfrm>
              <a:off x="95250" y="3962400"/>
              <a:ext cx="2990850" cy="1581150"/>
            </a:xfrm>
            <a:prstGeom prst="rect">
              <a:avLst/>
            </a:prstGeom>
            <a:solidFill>
              <a:prstClr val="white"/>
            </a:solidFill>
            <a:ln w="1">
              <a:solidFill>
                <a:prstClr val="green"/>
              </a:solidFill>
            </a:ln>
          </xdr:spPr>
          <xdr:txBody>
            <a:bodyPr vertOverflow="clip" horzOverflow="clip"/>
            <a:lstStyle/>
            <a:p>
              <a:r>
                <a:rPr lang="es-A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533400</xdr:colOff>
      <xdr:row>22</xdr:row>
      <xdr:rowOff>38100</xdr:rowOff>
    </xdr:from>
    <xdr:to>
      <xdr:col>27</xdr:col>
      <xdr:colOff>323850</xdr:colOff>
      <xdr:row>57</xdr:row>
      <xdr:rowOff>19050</xdr:rowOff>
    </xdr:to>
    <xdr:graphicFrame macro="">
      <xdr:nvGraphicFramePr>
        <xdr:cNvPr id="25" name="Chart 24">
          <a:extLst>
            <a:ext uri="{FF2B5EF4-FFF2-40B4-BE49-F238E27FC236}">
              <a16:creationId xmlns:a16="http://schemas.microsoft.com/office/drawing/2014/main" id="{A7CE71ED-D5DD-426A-9B98-EA29C06BD5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95250</xdr:colOff>
      <xdr:row>33</xdr:row>
      <xdr:rowOff>95250</xdr:rowOff>
    </xdr:from>
    <xdr:to>
      <xdr:col>5</xdr:col>
      <xdr:colOff>0</xdr:colOff>
      <xdr:row>42</xdr:row>
      <xdr:rowOff>95250</xdr:rowOff>
    </xdr:to>
    <mc:AlternateContent xmlns:mc="http://schemas.openxmlformats.org/markup-compatibility/2006" xmlns:a14="http://schemas.microsoft.com/office/drawing/2010/main">
      <mc:Choice Requires="a14">
        <xdr:graphicFrame macro="">
          <xdr:nvGraphicFramePr>
            <xdr:cNvPr id="29" name="TIPO_PERSONA">
              <a:extLst>
                <a:ext uri="{FF2B5EF4-FFF2-40B4-BE49-F238E27FC236}">
                  <a16:creationId xmlns:a16="http://schemas.microsoft.com/office/drawing/2014/main" id="{5D6F17A3-51F1-2552-DD18-95A5DDD5EC13}"/>
                </a:ext>
              </a:extLst>
            </xdr:cNvPr>
            <xdr:cNvGraphicFramePr/>
          </xdr:nvGraphicFramePr>
          <xdr:xfrm>
            <a:off x="0" y="0"/>
            <a:ext cx="0" cy="0"/>
          </xdr:xfrm>
          <a:graphic>
            <a:graphicData uri="http://schemas.microsoft.com/office/drawing/2010/slicer">
              <sle:slicer xmlns:sle="http://schemas.microsoft.com/office/drawing/2010/slicer" name="TIPO_PERSONA"/>
            </a:graphicData>
          </a:graphic>
        </xdr:graphicFrame>
      </mc:Choice>
      <mc:Fallback xmlns="">
        <xdr:sp macro="" textlink="">
          <xdr:nvSpPr>
            <xdr:cNvPr id="0" name=""/>
            <xdr:cNvSpPr>
              <a:spLocks noTextEdit="1"/>
            </xdr:cNvSpPr>
          </xdr:nvSpPr>
          <xdr:spPr>
            <a:xfrm>
              <a:off x="95250" y="6381750"/>
              <a:ext cx="3009900" cy="1714500"/>
            </a:xfrm>
            <a:prstGeom prst="rect">
              <a:avLst/>
            </a:prstGeom>
            <a:solidFill>
              <a:prstClr val="white"/>
            </a:solidFill>
            <a:ln w="1">
              <a:solidFill>
                <a:prstClr val="green"/>
              </a:solidFill>
            </a:ln>
          </xdr:spPr>
          <xdr:txBody>
            <a:bodyPr vertOverflow="clip" horzOverflow="clip"/>
            <a:lstStyle/>
            <a:p>
              <a:r>
                <a:rPr lang="es-A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uario" refreshedDate="46086.014798611111" createdVersion="8" refreshedVersion="8" minRefreshableVersion="3" recordCount="50" xr:uid="{77933BA3-2F76-496F-B444-011D2B852453}">
  <cacheSource type="worksheet">
    <worksheetSource name="AML_Reporting"/>
  </cacheSource>
  <cacheFields count="22">
    <cacheField name="ID_CLIENTE" numFmtId="0">
      <sharedItems count="50">
        <s v="CLI-001"/>
        <s v="CLI-002"/>
        <s v="CLI-003"/>
        <s v="CLI-004"/>
        <s v="CLI-005"/>
        <s v="CLI-006"/>
        <s v="CLI-007"/>
        <s v="CLI-008"/>
        <s v="CLI-009"/>
        <s v="CLI-010"/>
        <s v="CLI-011"/>
        <s v="CLI-012"/>
        <s v="CLI-013"/>
        <s v="CLI-014"/>
        <s v="CLI-015"/>
        <s v="CLI-016"/>
        <s v="CLI-017"/>
        <s v="CLI-018"/>
        <s v="CLI-019"/>
        <s v="CLI-020"/>
        <s v="CLI-021"/>
        <s v="CLI-022"/>
        <s v="CLI-023"/>
        <s v="CLI-024"/>
        <s v="CLI-025"/>
        <s v="CLI-026"/>
        <s v="CLI-027"/>
        <s v="CLI-028"/>
        <s v="CLI-029"/>
        <s v="CLI-030"/>
        <s v="CLI-031"/>
        <s v="CLI-032"/>
        <s v="CLI-033"/>
        <s v="CLI-034"/>
        <s v="CLI-035"/>
        <s v="CLI-036"/>
        <s v="CLI-037"/>
        <s v="CLI-038"/>
        <s v="CLI-039"/>
        <s v="CLI-040"/>
        <s v="CLI-041"/>
        <s v="CLI-042"/>
        <s v="CLI-043"/>
        <s v="CLI-044"/>
        <s v="CLI-045"/>
        <s v="CLI-046"/>
        <s v="CLI-047"/>
        <s v="CLI-048"/>
        <s v="CLI-049"/>
        <s v="CLI-050"/>
      </sharedItems>
    </cacheField>
    <cacheField name="TIPO_PERSONA" numFmtId="0">
      <sharedItems count="3">
        <s v="Humana"/>
        <s v="Jurídica Simple"/>
        <s v="Jurídica Compleja"/>
      </sharedItems>
    </cacheField>
    <cacheField name="SECTOR_ACTIVIDAD" numFmtId="0">
      <sharedItems count="9">
        <s v="Empleado en relación de dependencia"/>
        <s v="Trabajador independiente"/>
        <s v="Comercio minorista / Actividad comercial propia"/>
        <s v="Servicios (SAS/SRL)"/>
        <s v="Exportación / Servicios internacionales"/>
        <s v="Funcion público municipal"/>
        <s v="Funcion público nacional"/>
        <s v="Relaciones internacionales / Expat"/>
        <s v="Actividad variada"/>
      </sharedItems>
    </cacheField>
    <cacheField name="ANTIGUEDAD_ENTIDAD_AÑOS" numFmtId="0">
      <sharedItems containsSemiMixedTypes="0" containsString="0" containsNumber="1" containsInteger="1" minValue="0" maxValue="14"/>
    </cacheField>
    <cacheField name="PEP" numFmtId="0">
      <sharedItems/>
    </cacheField>
    <cacheField name="FPADM" numFmtId="0">
      <sharedItems/>
    </cacheField>
    <cacheField name="BENEFICIARIO_FINAL" numFmtId="0">
      <sharedItems/>
    </cacheField>
    <cacheField name="PUNTAJE_CLIENTE" numFmtId="0">
      <sharedItems containsSemiMixedTypes="0" containsString="0" containsNumber="1" minValue="1" maxValue="1.6666666666666667"/>
    </cacheField>
    <cacheField name="PUNTAJE_CLIENTE_PONDERADO" numFmtId="0">
      <sharedItems containsSemiMixedTypes="0" containsString="0" containsNumber="1" minValue="0.35" maxValue="0.58333333333333337"/>
    </cacheField>
    <cacheField name="TIPO_PRODUCTO" numFmtId="0">
      <sharedItems/>
    </cacheField>
    <cacheField name="COMPLEJIDAD_PRODUCTO" numFmtId="0">
      <sharedItems/>
    </cacheField>
    <cacheField name="PUNTAJE_PRODUCTO_PONDERADO" numFmtId="0">
      <sharedItems containsSemiMixedTypes="0" containsString="0" containsNumber="1" minValue="0.2" maxValue="0.60000000000000009" count="4">
        <n v="0.2"/>
        <n v="0.4"/>
        <n v="0.60000000000000009"/>
        <n v="0.5"/>
      </sharedItems>
    </cacheField>
    <cacheField name="CANAL_VINCULACION" numFmtId="0">
      <sharedItems count="3">
        <s v="Presencial"/>
        <s v="Mixto"/>
        <s v="Digital"/>
      </sharedItems>
    </cacheField>
    <cacheField name="PUNTAJE_CANAL_PONDERADO" numFmtId="0">
      <sharedItems containsSemiMixedTypes="0" containsString="0" containsNumber="1" minValue="0.15" maxValue="0.44999999999999996"/>
    </cacheField>
    <cacheField name="JURISDICCION" numFmtId="0">
      <sharedItems/>
    </cacheField>
    <cacheField name="PUNTAJE_GEOGRAFICO_PONDERADO" numFmtId="0">
      <sharedItems containsSemiMixedTypes="0" containsString="0" containsNumber="1" minValue="0.3" maxValue="0.89999999999999991"/>
    </cacheField>
    <cacheField name="PUNTAJE_TOTAL" numFmtId="0">
      <sharedItems containsSemiMixedTypes="0" containsString="0" containsNumber="1" minValue="1" maxValue="2.5333333333333332" count="20">
        <n v="1"/>
        <n v="1.7666666666666666"/>
        <n v="1.65"/>
        <n v="1.8833333333333333"/>
        <n v="2.1166666666666667"/>
        <n v="2.0166666666666666"/>
        <n v="1.8333333333333335"/>
        <n v="1.7333333333333334"/>
        <n v="1.9"/>
        <n v="1.3166666666666667"/>
        <n v="1.2"/>
        <n v="1.4333333333333333"/>
        <n v="2.15"/>
        <n v="2.2333333333333334"/>
        <n v="2"/>
        <n v="1.1166666666666667"/>
        <n v="1.5833333333333335"/>
        <n v="2.5333333333333332"/>
        <n v="2.3166666666666664"/>
        <n v="2.4166666666666665"/>
      </sharedItems>
    </cacheField>
    <cacheField name="ESCALONAMIENTO_AUTOMATICO" numFmtId="0">
      <sharedItems/>
    </cacheField>
    <cacheField name="NIVEL_RIESGO_FINAL" numFmtId="0">
      <sharedItems count="3">
        <s v="BAJO"/>
        <s v="ALTO"/>
        <s v="MEDIO"/>
      </sharedItems>
    </cacheField>
    <cacheField name="DILIGENCIA_APLICABLE" numFmtId="0">
      <sharedItems count="3">
        <s v="Simplificada"/>
        <s v="Reforzada"/>
        <s v="Media"/>
      </sharedItems>
    </cacheField>
    <cacheField name="COLOR_RIESGO" numFmtId="0">
      <sharedItems containsNonDate="0" containsString="0" containsBlank="1"/>
    </cacheField>
    <cacheField name="OBSERVACIONES" numFmtId="0">
      <sharedItems count="2">
        <s v=""/>
        <s v="Escalonamiento automático: revisar DD Reforzada"/>
      </sharedItems>
    </cacheField>
  </cacheFields>
  <extLst>
    <ext xmlns:x14="http://schemas.microsoft.com/office/spreadsheetml/2009/9/main" uri="{725AE2AE-9491-48be-B2B4-4EB974FC3084}">
      <x14:pivotCacheDefinition pivotCacheId="10463424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x v="0"/>
    <x v="0"/>
    <n v="2"/>
    <s v="No"/>
    <s v="Sin antecedentes"/>
    <s v="Identificado"/>
    <n v="1"/>
    <n v="0.35"/>
    <s v="Caja de ahorro en pesos, cuenta sueldo"/>
    <s v="Baja"/>
    <x v="0"/>
    <x v="0"/>
    <n v="0.15"/>
    <s v="CABA"/>
    <n v="0.3"/>
    <x v="0"/>
    <s v="No aplica"/>
    <x v="0"/>
    <x v="0"/>
    <m/>
    <x v="0"/>
  </r>
  <r>
    <x v="1"/>
    <x v="0"/>
    <x v="0"/>
    <n v="1"/>
    <s v="No"/>
    <s v="Sin antecedentes"/>
    <s v="Identificado"/>
    <n v="1"/>
    <n v="0.35"/>
    <s v="Caja de ahorro en pesos, cuenta sueldo"/>
    <s v="Baja"/>
    <x v="0"/>
    <x v="0"/>
    <n v="0.15"/>
    <s v="CABA"/>
    <n v="0.3"/>
    <x v="0"/>
    <s v="No aplica"/>
    <x v="0"/>
    <x v="0"/>
    <m/>
    <x v="0"/>
  </r>
  <r>
    <x v="2"/>
    <x v="0"/>
    <x v="0"/>
    <n v="5"/>
    <s v="No"/>
    <s v="Sin antecedentes"/>
    <s v="Identificado"/>
    <n v="1"/>
    <n v="0.35"/>
    <s v="Caja de ahorro en pesos, cuenta sueldo"/>
    <s v="Baja"/>
    <x v="0"/>
    <x v="0"/>
    <n v="0.15"/>
    <s v="CABA"/>
    <n v="0.3"/>
    <x v="0"/>
    <s v="No aplica"/>
    <x v="0"/>
    <x v="0"/>
    <m/>
    <x v="0"/>
  </r>
  <r>
    <x v="3"/>
    <x v="0"/>
    <x v="0"/>
    <n v="4"/>
    <s v="No"/>
    <s v="Sin antecedentes"/>
    <s v="Identificado"/>
    <n v="1"/>
    <n v="0.35"/>
    <s v="Caja de ahorro en pesos, cuenta sueldo"/>
    <s v="Baja"/>
    <x v="0"/>
    <x v="0"/>
    <n v="0.15"/>
    <s v="CABA"/>
    <n v="0.3"/>
    <x v="0"/>
    <s v="No aplica"/>
    <x v="0"/>
    <x v="0"/>
    <m/>
    <x v="0"/>
  </r>
  <r>
    <x v="4"/>
    <x v="0"/>
    <x v="0"/>
    <n v="4"/>
    <s v="No"/>
    <s v="Sin antecedentes"/>
    <s v="Identificado"/>
    <n v="1"/>
    <n v="0.35"/>
    <s v="Caja de ahorro en pesos, cuenta sueldo"/>
    <s v="Baja"/>
    <x v="0"/>
    <x v="0"/>
    <n v="0.15"/>
    <s v="CABA"/>
    <n v="0.3"/>
    <x v="0"/>
    <s v="No aplica"/>
    <x v="0"/>
    <x v="0"/>
    <m/>
    <x v="0"/>
  </r>
  <r>
    <x v="5"/>
    <x v="0"/>
    <x v="0"/>
    <n v="3"/>
    <s v="No"/>
    <s v="Sin antecedentes"/>
    <s v="Identificado"/>
    <n v="1"/>
    <n v="0.35"/>
    <s v="Caja de ahorro en pesos, cuenta sueldo"/>
    <s v="Baja"/>
    <x v="0"/>
    <x v="0"/>
    <n v="0.15"/>
    <s v="CABA"/>
    <n v="0.3"/>
    <x v="0"/>
    <s v="No aplica"/>
    <x v="0"/>
    <x v="0"/>
    <m/>
    <x v="0"/>
  </r>
  <r>
    <x v="6"/>
    <x v="0"/>
    <x v="0"/>
    <n v="2"/>
    <s v="No"/>
    <s v="Sin antecedentes"/>
    <s v="Identificado"/>
    <n v="1"/>
    <n v="0.35"/>
    <s v="Caja de ahorro en pesos, cuenta sueldo"/>
    <s v="Baja"/>
    <x v="0"/>
    <x v="0"/>
    <n v="0.15"/>
    <s v="CABA"/>
    <n v="0.3"/>
    <x v="0"/>
    <s v="No aplica"/>
    <x v="0"/>
    <x v="0"/>
    <m/>
    <x v="0"/>
  </r>
  <r>
    <x v="7"/>
    <x v="0"/>
    <x v="0"/>
    <n v="9"/>
    <s v="No"/>
    <s v="Sin antecedentes"/>
    <s v="Identificado"/>
    <n v="1"/>
    <n v="0.35"/>
    <s v="Caja de ahorro en pesos, cuenta sueldo"/>
    <s v="Baja"/>
    <x v="0"/>
    <x v="0"/>
    <n v="0.15"/>
    <s v="CABA"/>
    <n v="0.3"/>
    <x v="0"/>
    <s v="No aplica"/>
    <x v="0"/>
    <x v="0"/>
    <m/>
    <x v="0"/>
  </r>
  <r>
    <x v="8"/>
    <x v="0"/>
    <x v="0"/>
    <n v="2"/>
    <s v="No"/>
    <s v="Sin antecedentes"/>
    <s v="Identificado"/>
    <n v="1"/>
    <n v="0.35"/>
    <s v="Caja de ahorro en pesos, cuenta sueldo"/>
    <s v="Baja"/>
    <x v="0"/>
    <x v="0"/>
    <n v="0.15"/>
    <s v="CABA"/>
    <n v="0.3"/>
    <x v="0"/>
    <s v="No aplica"/>
    <x v="0"/>
    <x v="0"/>
    <m/>
    <x v="0"/>
  </r>
  <r>
    <x v="9"/>
    <x v="0"/>
    <x v="0"/>
    <n v="10"/>
    <s v="No"/>
    <s v="Sin antecedentes"/>
    <s v="Identificado"/>
    <n v="1"/>
    <n v="0.35"/>
    <s v="Caja de ahorro en pesos, cuenta sueldo"/>
    <s v="Baja"/>
    <x v="0"/>
    <x v="0"/>
    <n v="0.15"/>
    <s v="CABA"/>
    <n v="0.3"/>
    <x v="0"/>
    <s v="No aplica"/>
    <x v="0"/>
    <x v="0"/>
    <m/>
    <x v="0"/>
  </r>
  <r>
    <x v="10"/>
    <x v="0"/>
    <x v="0"/>
    <n v="7"/>
    <s v="No"/>
    <s v="Sin antecedentes"/>
    <s v="Identificado"/>
    <n v="1"/>
    <n v="0.35"/>
    <s v="Caja de ahorro en pesos, cuenta sueldo"/>
    <s v="Baja"/>
    <x v="0"/>
    <x v="0"/>
    <n v="0.15"/>
    <s v="CABA"/>
    <n v="0.3"/>
    <x v="0"/>
    <s v="No aplica"/>
    <x v="0"/>
    <x v="0"/>
    <m/>
    <x v="0"/>
  </r>
  <r>
    <x v="11"/>
    <x v="0"/>
    <x v="0"/>
    <n v="1"/>
    <s v="No"/>
    <s v="Sin antecedentes"/>
    <s v="Identificado"/>
    <n v="1"/>
    <n v="0.35"/>
    <s v="Caja de ahorro en pesos, cuenta sueldo"/>
    <s v="Baja"/>
    <x v="0"/>
    <x v="0"/>
    <n v="0.15"/>
    <s v="CABA"/>
    <n v="0.3"/>
    <x v="0"/>
    <s v="No aplica"/>
    <x v="0"/>
    <x v="0"/>
    <m/>
    <x v="0"/>
  </r>
  <r>
    <x v="12"/>
    <x v="0"/>
    <x v="1"/>
    <n v="0"/>
    <s v="PEP Nacional Bajo"/>
    <s v="Sin antecedentes"/>
    <s v="Identificado"/>
    <n v="1.3333333333333333"/>
    <n v="0.46666666666666662"/>
    <s v="Cuenta corriente, crédito personal, tarjeta de crédito"/>
    <s v="Media"/>
    <x v="1"/>
    <x v="1"/>
    <n v="0.3"/>
    <s v="Otra provincia/Argentina"/>
    <n v="0.6"/>
    <x v="1"/>
    <s v="SÍ / ALTO AUTOMÁTICO"/>
    <x v="1"/>
    <x v="1"/>
    <m/>
    <x v="1"/>
  </r>
  <r>
    <x v="13"/>
    <x v="0"/>
    <x v="1"/>
    <n v="8"/>
    <s v="PEP Nacional Bajo"/>
    <s v="Sin antecedentes"/>
    <s v="Identificado"/>
    <n v="1.3333333333333333"/>
    <n v="0.46666666666666662"/>
    <s v="Cuenta corriente, crédito personal, tarjeta de crédito"/>
    <s v="Media"/>
    <x v="1"/>
    <x v="1"/>
    <n v="0.3"/>
    <s v="Otra provincia/Argentina"/>
    <n v="0.6"/>
    <x v="1"/>
    <s v="SÍ / ALTO AUTOMÁTICO"/>
    <x v="1"/>
    <x v="1"/>
    <m/>
    <x v="1"/>
  </r>
  <r>
    <x v="14"/>
    <x v="0"/>
    <x v="1"/>
    <n v="3"/>
    <s v="No"/>
    <s v="Sin antecedentes"/>
    <s v="Identificado"/>
    <n v="1"/>
    <n v="0.35"/>
    <s v="Cuenta corriente, crédito personal, tarjeta de crédito"/>
    <s v="Media"/>
    <x v="1"/>
    <x v="1"/>
    <n v="0.3"/>
    <s v="Otra provincia/Argentina"/>
    <n v="0.6"/>
    <x v="2"/>
    <s v="No aplica"/>
    <x v="2"/>
    <x v="2"/>
    <m/>
    <x v="0"/>
  </r>
  <r>
    <x v="15"/>
    <x v="0"/>
    <x v="1"/>
    <n v="12"/>
    <s v="No"/>
    <s v="Sin antecedentes"/>
    <s v="Identificado"/>
    <n v="1"/>
    <n v="0.35"/>
    <s v="Cuenta corriente, crédito personal, tarjeta de crédito"/>
    <s v="Media"/>
    <x v="1"/>
    <x v="1"/>
    <n v="0.3"/>
    <s v="Otra provincia/Argentina"/>
    <n v="0.6"/>
    <x v="2"/>
    <s v="No aplica"/>
    <x v="2"/>
    <x v="2"/>
    <m/>
    <x v="0"/>
  </r>
  <r>
    <x v="16"/>
    <x v="0"/>
    <x v="1"/>
    <n v="2"/>
    <s v="No"/>
    <s v="Sin antecedentes"/>
    <s v="Parcial"/>
    <n v="1.3333333333333333"/>
    <n v="0.46666666666666662"/>
    <s v="Cuenta corriente, crédito personal, tarjeta de crédito"/>
    <s v="Media"/>
    <x v="1"/>
    <x v="1"/>
    <n v="0.3"/>
    <s v="Otra provincia/Argentina"/>
    <n v="0.6"/>
    <x v="1"/>
    <s v="No aplica"/>
    <x v="2"/>
    <x v="2"/>
    <m/>
    <x v="0"/>
  </r>
  <r>
    <x v="17"/>
    <x v="0"/>
    <x v="1"/>
    <n v="6"/>
    <s v="PEP Nacional Bajo"/>
    <s v="Sin antecedentes"/>
    <s v="Identificado"/>
    <n v="1.3333333333333333"/>
    <n v="0.46666666666666662"/>
    <s v="Cuenta corriente, crédito personal, tarjeta de crédito"/>
    <s v="Media"/>
    <x v="1"/>
    <x v="1"/>
    <n v="0.3"/>
    <s v="Otra provincia/Argentina"/>
    <n v="0.6"/>
    <x v="1"/>
    <s v="SÍ / ALTO AUTOMÁTICO"/>
    <x v="1"/>
    <x v="1"/>
    <m/>
    <x v="1"/>
  </r>
  <r>
    <x v="18"/>
    <x v="0"/>
    <x v="1"/>
    <n v="12"/>
    <s v="PEP Nacional Bajo"/>
    <s v="Sin antecedentes"/>
    <s v="Parcial"/>
    <n v="1.6666666666666667"/>
    <n v="0.58333333333333337"/>
    <s v="Cuenta corriente, crédito personal, tarjeta de crédito"/>
    <s v="Media"/>
    <x v="1"/>
    <x v="1"/>
    <n v="0.3"/>
    <s v="Otra provincia/Argentina"/>
    <n v="0.6"/>
    <x v="3"/>
    <s v="SÍ / ALTO AUTOMÁTICO"/>
    <x v="1"/>
    <x v="1"/>
    <m/>
    <x v="1"/>
  </r>
  <r>
    <x v="19"/>
    <x v="0"/>
    <x v="1"/>
    <n v="6"/>
    <s v="PEP Nacional Bajo"/>
    <s v="Sin antecedentes"/>
    <s v="Identificado"/>
    <n v="1.3333333333333333"/>
    <n v="0.46666666666666662"/>
    <s v="Cuenta corriente, crédito personal, tarjeta de crédito"/>
    <s v="Media"/>
    <x v="1"/>
    <x v="1"/>
    <n v="0.3"/>
    <s v="Otra provincia/Argentina"/>
    <n v="0.6"/>
    <x v="1"/>
    <s v="SÍ / ALTO AUTOMÁTICO"/>
    <x v="1"/>
    <x v="1"/>
    <m/>
    <x v="1"/>
  </r>
  <r>
    <x v="20"/>
    <x v="0"/>
    <x v="1"/>
    <n v="5"/>
    <s v="No"/>
    <s v="Sin antecedentes"/>
    <s v="Parcial"/>
    <n v="1.3333333333333333"/>
    <n v="0.46666666666666662"/>
    <s v="Cuenta corriente, crédito personal, tarjeta de crédito"/>
    <s v="Media"/>
    <x v="1"/>
    <x v="1"/>
    <n v="0.3"/>
    <s v="Otra provincia/Argentina"/>
    <n v="0.6"/>
    <x v="1"/>
    <s v="No aplica"/>
    <x v="2"/>
    <x v="2"/>
    <m/>
    <x v="0"/>
  </r>
  <r>
    <x v="21"/>
    <x v="0"/>
    <x v="1"/>
    <n v="3"/>
    <s v="No"/>
    <s v="Sin antecedentes"/>
    <s v="Identificado"/>
    <n v="1"/>
    <n v="0.35"/>
    <s v="Cuenta corriente, crédito personal, tarjeta de crédito"/>
    <s v="Media"/>
    <x v="1"/>
    <x v="1"/>
    <n v="0.3"/>
    <s v="Otra provincia/Argentina"/>
    <n v="0.6"/>
    <x v="2"/>
    <s v="No aplica"/>
    <x v="2"/>
    <x v="2"/>
    <m/>
    <x v="0"/>
  </r>
  <r>
    <x v="22"/>
    <x v="0"/>
    <x v="2"/>
    <n v="1"/>
    <s v="No"/>
    <s v="Antecedentes menores"/>
    <s v="Identificado"/>
    <n v="1.3333333333333333"/>
    <n v="0.46666666666666662"/>
    <s v="Transferencias internacionales, productos de inversión, fideicomisos financieros"/>
    <s v="Alta"/>
    <x v="2"/>
    <x v="2"/>
    <n v="0.44999999999999996"/>
    <s v="Otra provincia/Argentina"/>
    <n v="0.6"/>
    <x v="4"/>
    <s v="No aplica"/>
    <x v="2"/>
    <x v="2"/>
    <m/>
    <x v="0"/>
  </r>
  <r>
    <x v="23"/>
    <x v="0"/>
    <x v="2"/>
    <n v="1"/>
    <s v="No"/>
    <s v="Antecedentes menores"/>
    <s v="Identificado"/>
    <n v="1.3333333333333333"/>
    <n v="0.46666666666666662"/>
    <s v="Transferencias internacionales, productos de inversión, fideicomisos financieros"/>
    <s v="Alta"/>
    <x v="2"/>
    <x v="2"/>
    <n v="0.44999999999999996"/>
    <s v="Otra provincia/Argentina"/>
    <n v="0.6"/>
    <x v="4"/>
    <s v="No aplica"/>
    <x v="2"/>
    <x v="2"/>
    <m/>
    <x v="0"/>
  </r>
  <r>
    <x v="24"/>
    <x v="0"/>
    <x v="2"/>
    <n v="8"/>
    <s v="No"/>
    <s v="Antecedentes menores"/>
    <s v="Identificado"/>
    <n v="1.3333333333333333"/>
    <n v="0.46666666666666662"/>
    <s v="Transferencias internacionales, productos de inversión, fideicomisos financieros"/>
    <s v="Media"/>
    <x v="3"/>
    <x v="2"/>
    <n v="0.44999999999999996"/>
    <s v="Otra provincia/Argentina"/>
    <n v="0.6"/>
    <x v="5"/>
    <s v="No aplica"/>
    <x v="2"/>
    <x v="2"/>
    <m/>
    <x v="0"/>
  </r>
  <r>
    <x v="25"/>
    <x v="0"/>
    <x v="2"/>
    <n v="6"/>
    <s v="No"/>
    <s v="Antecedentes menores"/>
    <s v="Identificado"/>
    <n v="1.3333333333333333"/>
    <n v="0.46666666666666662"/>
    <s v="Cuenta corriente, crédito personal, tarjeta de crédito"/>
    <s v="Alta"/>
    <x v="3"/>
    <x v="2"/>
    <n v="0.44999999999999996"/>
    <s v="Otra provincia/Argentina"/>
    <n v="0.6"/>
    <x v="5"/>
    <s v="No aplica"/>
    <x v="2"/>
    <x v="2"/>
    <m/>
    <x v="0"/>
  </r>
  <r>
    <x v="26"/>
    <x v="0"/>
    <x v="2"/>
    <n v="6"/>
    <s v="No"/>
    <s v="Antecedentes menores"/>
    <s v="Parcial"/>
    <n v="1.6666666666666667"/>
    <n v="0.58333333333333337"/>
    <s v="Transferencias internacionales, productos de inversión, fideicomisos financieros"/>
    <s v="Media"/>
    <x v="3"/>
    <x v="2"/>
    <n v="0.44999999999999996"/>
    <s v="Buenos Aires"/>
    <n v="0.3"/>
    <x v="6"/>
    <s v="No aplica"/>
    <x v="2"/>
    <x v="2"/>
    <m/>
    <x v="0"/>
  </r>
  <r>
    <x v="27"/>
    <x v="0"/>
    <x v="2"/>
    <n v="6"/>
    <s v="No"/>
    <s v="Antecedentes menores"/>
    <s v="Parcial"/>
    <n v="1.6666666666666667"/>
    <n v="0.58333333333333337"/>
    <s v="Cuenta corriente, crédito personal, tarjeta de crédito"/>
    <s v="Media"/>
    <x v="1"/>
    <x v="2"/>
    <n v="0.44999999999999996"/>
    <s v="Buenos Aires"/>
    <n v="0.3"/>
    <x v="7"/>
    <s v="No aplica"/>
    <x v="2"/>
    <x v="2"/>
    <m/>
    <x v="0"/>
  </r>
  <r>
    <x v="28"/>
    <x v="0"/>
    <x v="2"/>
    <n v="0"/>
    <s v="No"/>
    <s v="Antecedentes menores"/>
    <s v="Parcial"/>
    <n v="1.6666666666666667"/>
    <n v="0.58333333333333337"/>
    <s v="Cuenta corriente, crédito personal, tarjeta de crédito"/>
    <s v="Media"/>
    <x v="1"/>
    <x v="2"/>
    <n v="0.44999999999999996"/>
    <s v="Buenos Aires"/>
    <n v="0.3"/>
    <x v="7"/>
    <s v="No aplica"/>
    <x v="2"/>
    <x v="2"/>
    <m/>
    <x v="0"/>
  </r>
  <r>
    <x v="29"/>
    <x v="0"/>
    <x v="2"/>
    <n v="7"/>
    <s v="No"/>
    <s v="Sin antecedentes"/>
    <s v="Identificado"/>
    <n v="1"/>
    <n v="0.35"/>
    <s v="Transferencias internacionales, productos de inversión, fideicomisos financieros"/>
    <s v="Media"/>
    <x v="3"/>
    <x v="2"/>
    <n v="0.44999999999999996"/>
    <s v="Otra provincia/Argentina"/>
    <n v="0.6"/>
    <x v="8"/>
    <s v="No aplica"/>
    <x v="2"/>
    <x v="2"/>
    <m/>
    <x v="0"/>
  </r>
  <r>
    <x v="30"/>
    <x v="1"/>
    <x v="3"/>
    <n v="9"/>
    <s v="No"/>
    <s v="Sin antecedentes"/>
    <s v="Parcial"/>
    <n v="1.3333333333333333"/>
    <n v="0.46666666666666662"/>
    <s v="Cuenta corriente, crédito personal, tarjeta de crédito"/>
    <s v="Media"/>
    <x v="1"/>
    <x v="0"/>
    <n v="0.15"/>
    <s v="CABA"/>
    <n v="0.3"/>
    <x v="9"/>
    <s v="No aplica"/>
    <x v="0"/>
    <x v="0"/>
    <m/>
    <x v="0"/>
  </r>
  <r>
    <x v="31"/>
    <x v="1"/>
    <x v="3"/>
    <n v="5"/>
    <s v="No"/>
    <s v="Sin antecedentes"/>
    <s v="Parcial"/>
    <n v="1.3333333333333333"/>
    <n v="0.46666666666666662"/>
    <s v="Cuenta corriente, crédito personal, tarjeta de crédito"/>
    <s v="Media"/>
    <x v="1"/>
    <x v="0"/>
    <n v="0.15"/>
    <s v="CABA"/>
    <n v="0.3"/>
    <x v="9"/>
    <s v="No aplica"/>
    <x v="0"/>
    <x v="0"/>
    <m/>
    <x v="0"/>
  </r>
  <r>
    <x v="32"/>
    <x v="1"/>
    <x v="3"/>
    <n v="12"/>
    <s v="No"/>
    <s v="Sin antecedentes"/>
    <s v="Parcial"/>
    <n v="1.3333333333333333"/>
    <n v="0.46666666666666662"/>
    <s v="Cuenta corriente, crédito personal, tarjeta de crédito"/>
    <s v="Media"/>
    <x v="1"/>
    <x v="0"/>
    <n v="0.15"/>
    <s v="Buenos Aires"/>
    <n v="0.3"/>
    <x v="9"/>
    <s v="No aplica"/>
    <x v="0"/>
    <x v="0"/>
    <m/>
    <x v="0"/>
  </r>
  <r>
    <x v="33"/>
    <x v="1"/>
    <x v="3"/>
    <n v="2"/>
    <s v="No"/>
    <s v="Sin antecedentes"/>
    <s v="Identificado"/>
    <n v="1"/>
    <n v="0.35"/>
    <s v="Cuenta corriente, crédito personal, tarjeta de crédito"/>
    <s v="Media"/>
    <x v="1"/>
    <x v="0"/>
    <n v="0.15"/>
    <s v="CABA"/>
    <n v="0.3"/>
    <x v="10"/>
    <s v="No aplica"/>
    <x v="0"/>
    <x v="0"/>
    <m/>
    <x v="0"/>
  </r>
  <r>
    <x v="34"/>
    <x v="1"/>
    <x v="3"/>
    <n v="10"/>
    <s v="No"/>
    <s v="Antecedentes menores"/>
    <s v="Parcial"/>
    <n v="1.6666666666666667"/>
    <n v="0.58333333333333337"/>
    <s v="Cuenta corriente, crédito personal, tarjeta de crédito"/>
    <s v="Media"/>
    <x v="1"/>
    <x v="0"/>
    <n v="0.15"/>
    <s v="Buenos Aires"/>
    <n v="0.3"/>
    <x v="11"/>
    <s v="No aplica"/>
    <x v="0"/>
    <x v="0"/>
    <m/>
    <x v="0"/>
  </r>
  <r>
    <x v="35"/>
    <x v="1"/>
    <x v="3"/>
    <n v="9"/>
    <s v="No"/>
    <s v="Sin antecedentes"/>
    <s v="Parcial"/>
    <n v="1.3333333333333333"/>
    <n v="0.46666666666666662"/>
    <s v="Cuenta corriente, crédito personal, tarjeta de crédito"/>
    <s v="Media"/>
    <x v="1"/>
    <x v="0"/>
    <n v="0.15"/>
    <s v="CABA"/>
    <n v="0.3"/>
    <x v="9"/>
    <s v="No aplica"/>
    <x v="0"/>
    <x v="0"/>
    <m/>
    <x v="0"/>
  </r>
  <r>
    <x v="36"/>
    <x v="1"/>
    <x v="3"/>
    <n v="2"/>
    <s v="No"/>
    <s v="Sin antecedentes"/>
    <s v="Parcial"/>
    <n v="1.3333333333333333"/>
    <n v="0.46666666666666662"/>
    <s v="Cuenta corriente, crédito personal, tarjeta de crédito"/>
    <s v="Media"/>
    <x v="1"/>
    <x v="0"/>
    <n v="0.15"/>
    <s v="CABA"/>
    <n v="0.3"/>
    <x v="9"/>
    <s v="No aplica"/>
    <x v="0"/>
    <x v="0"/>
    <m/>
    <x v="0"/>
  </r>
  <r>
    <x v="37"/>
    <x v="2"/>
    <x v="4"/>
    <n v="6"/>
    <s v="No"/>
    <s v="Sin antecedentes"/>
    <s v="Identificado"/>
    <n v="1"/>
    <n v="0.35"/>
    <s v="Transferencias internacionales, productos de inversión, fideicomisos financieros"/>
    <s v="Alta"/>
    <x v="2"/>
    <x v="1"/>
    <n v="0.3"/>
    <s v="Jurisdicción GAFI"/>
    <n v="0.89999999999999991"/>
    <x v="12"/>
    <s v="No aplica"/>
    <x v="2"/>
    <x v="2"/>
    <m/>
    <x v="0"/>
  </r>
  <r>
    <x v="38"/>
    <x v="2"/>
    <x v="4"/>
    <n v="14"/>
    <s v="No"/>
    <s v="Sin antecedentes"/>
    <s v="No identificado"/>
    <n v="1.6666666666666667"/>
    <n v="0.58333333333333337"/>
    <s v="Transferencias internacionales, productos de inversión, fideicomisos financieros"/>
    <s v="Alta"/>
    <x v="2"/>
    <x v="2"/>
    <n v="0.44999999999999996"/>
    <s v="Otra provincia/Argentina"/>
    <n v="0.6"/>
    <x v="13"/>
    <s v="SÍ / ALTO AUTOMÁTICO"/>
    <x v="1"/>
    <x v="1"/>
    <m/>
    <x v="1"/>
  </r>
  <r>
    <x v="39"/>
    <x v="2"/>
    <x v="4"/>
    <n v="11"/>
    <s v="No"/>
    <s v="Sin antecedentes"/>
    <s v="Identificado"/>
    <n v="1"/>
    <n v="0.35"/>
    <s v="Transferencias internacionales, productos de inversión, fideicomisos financieros"/>
    <s v="Alta"/>
    <x v="2"/>
    <x v="2"/>
    <n v="0.44999999999999996"/>
    <s v="Otra provincia/Argentina"/>
    <n v="0.6"/>
    <x v="14"/>
    <s v="No aplica"/>
    <x v="2"/>
    <x v="2"/>
    <m/>
    <x v="0"/>
  </r>
  <r>
    <x v="40"/>
    <x v="2"/>
    <x v="4"/>
    <n v="12"/>
    <s v="No"/>
    <s v="Antecedentes menores"/>
    <s v="Identificado"/>
    <n v="1.3333333333333333"/>
    <n v="0.46666666666666662"/>
    <s v="Transferencias internacionales, productos de inversión, fideicomisos financieros"/>
    <s v="Alta"/>
    <x v="2"/>
    <x v="2"/>
    <n v="0.44999999999999996"/>
    <s v="Otra provincia/Argentina"/>
    <n v="0.6"/>
    <x v="4"/>
    <s v="No aplica"/>
    <x v="2"/>
    <x v="2"/>
    <m/>
    <x v="0"/>
  </r>
  <r>
    <x v="41"/>
    <x v="2"/>
    <x v="4"/>
    <n v="11"/>
    <s v="No"/>
    <s v="Antecedentes menores"/>
    <s v="Identificado"/>
    <n v="1.3333333333333333"/>
    <n v="0.46666666666666662"/>
    <s v="Transferencias internacionales, productos de inversión, fideicomisos financieros"/>
    <s v="Alta"/>
    <x v="2"/>
    <x v="2"/>
    <n v="0.44999999999999996"/>
    <s v="Otra provincia/Argentina"/>
    <n v="0.6"/>
    <x v="4"/>
    <s v="No aplica"/>
    <x v="2"/>
    <x v="2"/>
    <m/>
    <x v="0"/>
  </r>
  <r>
    <x v="42"/>
    <x v="0"/>
    <x v="5"/>
    <n v="5"/>
    <s v="PEP Nacional Bajo"/>
    <s v="Sin antecedentes"/>
    <s v="Identificado"/>
    <n v="1.3333333333333333"/>
    <n v="0.46666666666666662"/>
    <s v="Caja de ahorro en pesos, cuenta sueldo"/>
    <s v="Baja"/>
    <x v="0"/>
    <x v="0"/>
    <n v="0.15"/>
    <s v="CABA"/>
    <n v="0.3"/>
    <x v="15"/>
    <s v="SÍ / ALTO AUTOMÁTICO"/>
    <x v="1"/>
    <x v="1"/>
    <m/>
    <x v="1"/>
  </r>
  <r>
    <x v="43"/>
    <x v="0"/>
    <x v="5"/>
    <n v="10"/>
    <s v="PEP Nacional Bajo"/>
    <s v="Sin antecedentes"/>
    <s v="Identificado"/>
    <n v="1.3333333333333333"/>
    <n v="0.46666666666666662"/>
    <s v="Caja de ahorro en pesos, cuenta sueldo"/>
    <s v="Baja"/>
    <x v="0"/>
    <x v="0"/>
    <n v="0.15"/>
    <s v="CABA"/>
    <n v="0.3"/>
    <x v="15"/>
    <s v="SÍ / ALTO AUTOMÁTICO"/>
    <x v="1"/>
    <x v="1"/>
    <m/>
    <x v="1"/>
  </r>
  <r>
    <x v="44"/>
    <x v="0"/>
    <x v="5"/>
    <n v="6"/>
    <s v="PEP Nacional Bajo"/>
    <s v="Sin antecedentes"/>
    <s v="Identificado"/>
    <n v="1.3333333333333333"/>
    <n v="0.46666666666666662"/>
    <s v="Caja de ahorro en pesos, cuenta sueldo"/>
    <s v="Baja"/>
    <x v="0"/>
    <x v="0"/>
    <n v="0.15"/>
    <s v="CABA"/>
    <n v="0.3"/>
    <x v="15"/>
    <s v="SÍ / ALTO AUTOMÁTICO"/>
    <x v="1"/>
    <x v="1"/>
    <m/>
    <x v="1"/>
  </r>
  <r>
    <x v="45"/>
    <x v="0"/>
    <x v="6"/>
    <n v="13"/>
    <s v="PEP Nacional Alto"/>
    <s v="Sin antecedentes"/>
    <s v="Identificado"/>
    <n v="1.6666666666666667"/>
    <n v="0.58333333333333337"/>
    <s v="Cuenta corriente, crédito personal, tarjeta de crédito"/>
    <s v="Media"/>
    <x v="1"/>
    <x v="1"/>
    <n v="0.3"/>
    <s v="Buenos Aires"/>
    <n v="0.3"/>
    <x v="16"/>
    <s v="SÍ / ALTO AUTOMÁTICO"/>
    <x v="1"/>
    <x v="1"/>
    <m/>
    <x v="1"/>
  </r>
  <r>
    <x v="46"/>
    <x v="0"/>
    <x v="7"/>
    <n v="4"/>
    <s v="PEP Extranjero"/>
    <s v="Sin antecedentes"/>
    <s v="Identificado"/>
    <n v="1.6666666666666667"/>
    <n v="0.58333333333333337"/>
    <s v="Transferencias internacionales, productos de inversión, fideicomisos financieros"/>
    <s v="Alta"/>
    <x v="2"/>
    <x v="2"/>
    <n v="0.44999999999999996"/>
    <s v="Jurisdicción GAFI"/>
    <n v="0.89999999999999991"/>
    <x v="17"/>
    <s v="SÍ / ALTO AUTOMÁTICO"/>
    <x v="1"/>
    <x v="1"/>
    <m/>
    <x v="1"/>
  </r>
  <r>
    <x v="47"/>
    <x v="1"/>
    <x v="8"/>
    <n v="7"/>
    <s v="No"/>
    <s v="Sin antecedentes"/>
    <s v="Parcial"/>
    <n v="1.3333333333333333"/>
    <n v="0.46666666666666662"/>
    <s v="Cuenta corriente, crédito personal, tarjeta de crédito"/>
    <s v="Alta"/>
    <x v="3"/>
    <x v="2"/>
    <n v="0.44999999999999996"/>
    <s v="Jurisdicción GAFI"/>
    <n v="0.89999999999999991"/>
    <x v="18"/>
    <s v="No aplica"/>
    <x v="1"/>
    <x v="1"/>
    <m/>
    <x v="0"/>
  </r>
  <r>
    <x v="48"/>
    <x v="0"/>
    <x v="8"/>
    <n v="12"/>
    <s v="No"/>
    <s v="Sin antecedentes"/>
    <s v="Parcial"/>
    <n v="1.3333333333333333"/>
    <n v="0.46666666666666662"/>
    <s v="Transferencias internacionales, productos de inversión, fideicomisos financieros"/>
    <s v="Media"/>
    <x v="3"/>
    <x v="2"/>
    <n v="0.44999999999999996"/>
    <s v="Jurisdicción GAFI"/>
    <n v="0.89999999999999991"/>
    <x v="18"/>
    <s v="No aplica"/>
    <x v="1"/>
    <x v="1"/>
    <m/>
    <x v="0"/>
  </r>
  <r>
    <x v="49"/>
    <x v="1"/>
    <x v="8"/>
    <n v="6"/>
    <s v="No"/>
    <s v="Sin antecedentes"/>
    <s v="Parcial"/>
    <n v="1.3333333333333333"/>
    <n v="0.46666666666666662"/>
    <s v="Transferencias internacionales, productos de inversión, fideicomisos financieros"/>
    <s v="Alta"/>
    <x v="2"/>
    <x v="2"/>
    <n v="0.44999999999999996"/>
    <s v="Jurisdicción GAFI"/>
    <n v="0.89999999999999991"/>
    <x v="19"/>
    <s v="No aplica"/>
    <x v="1"/>
    <x v="1"/>
    <m/>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4C96DC-975E-4B89-ABD6-6AF0C8B96F8C}" name="PivotTable2"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7">
  <location ref="V11:W15" firstHeaderRow="1" firstDataRow="1" firstDataCol="1"/>
  <pivotFields count="22">
    <pivotField dataField="1" showAll="0"/>
    <pivotField showAll="0">
      <items count="4">
        <item x="0"/>
        <item x="2"/>
        <item x="1"/>
        <item t="default"/>
      </items>
    </pivotField>
    <pivotField showAll="0" sortType="ascending" defaultSubtotal="0">
      <items count="9">
        <item h="1" x="8"/>
        <item h="1" x="2"/>
        <item x="0"/>
        <item h="1" x="4"/>
        <item h="1" x="5"/>
        <item h="1" x="6"/>
        <item h="1" x="7"/>
        <item h="1" x="3"/>
        <item h="1" x="1"/>
      </items>
    </pivotField>
    <pivotField showAll="0"/>
    <pivotField showAll="0"/>
    <pivotField showAll="0"/>
    <pivotField showAll="0"/>
    <pivotField showAll="0"/>
    <pivotField showAll="0"/>
    <pivotField showAll="0"/>
    <pivotField showAll="0"/>
    <pivotField showAll="0">
      <items count="5">
        <item x="0"/>
        <item x="1"/>
        <item x="3"/>
        <item x="2"/>
        <item t="default"/>
      </items>
    </pivotField>
    <pivotField showAll="0">
      <items count="4">
        <item x="2"/>
        <item x="1"/>
        <item x="0"/>
        <item t="default"/>
      </items>
    </pivotField>
    <pivotField showAll="0"/>
    <pivotField showAll="0"/>
    <pivotField showAll="0"/>
    <pivotField showAll="0"/>
    <pivotField showAll="0"/>
    <pivotField axis="axisRow" showAll="0">
      <items count="4">
        <item x="1"/>
        <item x="0"/>
        <item x="2"/>
        <item t="default"/>
      </items>
    </pivotField>
    <pivotField showAll="0"/>
    <pivotField showAll="0"/>
    <pivotField showAll="0"/>
  </pivotFields>
  <rowFields count="1">
    <field x="18"/>
  </rowFields>
  <rowItems count="4">
    <i>
      <x/>
    </i>
    <i>
      <x v="1"/>
    </i>
    <i>
      <x v="2"/>
    </i>
    <i t="grand">
      <x/>
    </i>
  </rowItems>
  <colItems count="1">
    <i/>
  </colItems>
  <dataFields count="1">
    <dataField name="Count of ID_CLIENTE" fld="0" subtotal="count" showDataAs="percentOfTotal" baseField="18" baseItem="0" numFmtId="10"/>
  </dataFields>
  <chartFormats count="4">
    <chartFormat chart="53" format="8" series="1">
      <pivotArea type="data" outline="0" fieldPosition="0">
        <references count="1">
          <reference field="4294967294" count="1" selected="0">
            <x v="0"/>
          </reference>
        </references>
      </pivotArea>
    </chartFormat>
    <chartFormat chart="53" format="9">
      <pivotArea type="data" outline="0" fieldPosition="0">
        <references count="2">
          <reference field="4294967294" count="1" selected="0">
            <x v="0"/>
          </reference>
          <reference field="18" count="1" selected="0">
            <x v="0"/>
          </reference>
        </references>
      </pivotArea>
    </chartFormat>
    <chartFormat chart="53" format="10">
      <pivotArea type="data" outline="0" fieldPosition="0">
        <references count="2">
          <reference field="4294967294" count="1" selected="0">
            <x v="0"/>
          </reference>
          <reference field="18" count="1" selected="0">
            <x v="1"/>
          </reference>
        </references>
      </pivotArea>
    </chartFormat>
    <chartFormat chart="53" format="11">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B5C743-1A8C-42B1-B7C2-157994C99B80}" name="PivotTable7" cacheId="2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U21:X32" firstHeaderRow="1" firstDataRow="1" firstDataCol="3"/>
  <pivotFields count="22">
    <pivotField axis="axisRow" compact="0" outline="0" showAll="0" measureFilter="1" sortType="descending" defaultSubtotal="0">
      <items count="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s>
    </pivotField>
    <pivotField compact="0" outline="0" showAll="0">
      <items count="4">
        <item x="0"/>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4">
        <item x="2"/>
        <item x="1"/>
        <item x="0"/>
        <item t="default"/>
      </items>
    </pivotField>
    <pivotField compact="0" outline="0" showAll="0"/>
    <pivotField compact="0" outline="0" showAll="0"/>
    <pivotField compact="0" outline="0" showAll="0"/>
    <pivotField dataField="1" compact="0" outline="0" showAll="0">
      <items count="21">
        <item x="0"/>
        <item x="15"/>
        <item x="10"/>
        <item x="9"/>
        <item x="11"/>
        <item x="16"/>
        <item x="2"/>
        <item x="7"/>
        <item x="1"/>
        <item x="6"/>
        <item x="3"/>
        <item x="8"/>
        <item x="14"/>
        <item x="5"/>
        <item x="4"/>
        <item x="12"/>
        <item x="13"/>
        <item x="18"/>
        <item x="19"/>
        <item x="17"/>
        <item t="default"/>
      </items>
    </pivotField>
    <pivotField compact="0" outline="0" showAll="0"/>
    <pivotField compact="0" outline="0" showAll="0">
      <items count="4">
        <item x="1"/>
        <item x="0"/>
        <item x="2"/>
        <item t="default"/>
      </items>
    </pivotField>
    <pivotField axis="axisRow" compact="0" outline="0" showAll="0" defaultSubtotal="0">
      <items count="3">
        <item x="2"/>
        <item x="1"/>
        <item x="0"/>
      </items>
    </pivotField>
    <pivotField compact="0" outline="0" showAll="0"/>
    <pivotField axis="axisRow" compact="0" outline="0" showAll="0">
      <items count="3">
        <item x="0"/>
        <item x="1"/>
        <item t="default"/>
      </items>
    </pivotField>
  </pivotFields>
  <rowFields count="3">
    <field x="0"/>
    <field x="19"/>
    <field x="21"/>
  </rowFields>
  <rowItems count="11">
    <i>
      <x/>
      <x v="1"/>
      <x/>
    </i>
    <i>
      <x v="1"/>
      <x v="1"/>
      <x/>
    </i>
    <i>
      <x v="2"/>
      <x v="1"/>
      <x/>
    </i>
    <i>
      <x v="3"/>
      <x v="1"/>
      <x v="1"/>
    </i>
    <i>
      <x v="8"/>
      <x/>
      <x/>
    </i>
    <i>
      <x v="9"/>
      <x/>
      <x/>
    </i>
    <i>
      <x v="11"/>
      <x v="1"/>
      <x v="1"/>
    </i>
    <i>
      <x v="12"/>
      <x/>
      <x/>
    </i>
    <i>
      <x v="26"/>
      <x/>
      <x/>
    </i>
    <i>
      <x v="27"/>
      <x/>
      <x/>
    </i>
    <i t="grand">
      <x/>
    </i>
  </rowItems>
  <colItems count="1">
    <i/>
  </colItems>
  <dataFields count="1">
    <dataField name="Sum of PUNTAJE_TOTAL" fld="16" baseField="0" baseItem="0"/>
  </dataFields>
  <formats count="25">
    <format dxfId="177">
      <pivotArea collapsedLevelsAreSubtotals="1" fieldPosition="0">
        <references count="1">
          <reference field="0" count="1">
            <x v="0"/>
          </reference>
        </references>
      </pivotArea>
    </format>
    <format dxfId="176">
      <pivotArea collapsedLevelsAreSubtotals="1" fieldPosition="0">
        <references count="2">
          <reference field="0" count="1" selected="0">
            <x v="0"/>
          </reference>
          <reference field="19" count="1">
            <x v="1"/>
          </reference>
        </references>
      </pivotArea>
    </format>
    <format dxfId="175">
      <pivotArea collapsedLevelsAreSubtotals="1" fieldPosition="0">
        <references count="3">
          <reference field="0" count="1" selected="0">
            <x v="0"/>
          </reference>
          <reference field="19" count="1" selected="0">
            <x v="1"/>
          </reference>
          <reference field="21" count="1">
            <x v="0"/>
          </reference>
        </references>
      </pivotArea>
    </format>
    <format dxfId="174">
      <pivotArea collapsedLevelsAreSubtotals="1" fieldPosition="0">
        <references count="1">
          <reference field="0" count="1">
            <x v="1"/>
          </reference>
        </references>
      </pivotArea>
    </format>
    <format dxfId="173">
      <pivotArea collapsedLevelsAreSubtotals="1" fieldPosition="0">
        <references count="2">
          <reference field="0" count="1" selected="0">
            <x v="1"/>
          </reference>
          <reference field="19" count="1">
            <x v="1"/>
          </reference>
        </references>
      </pivotArea>
    </format>
    <format dxfId="172">
      <pivotArea collapsedLevelsAreSubtotals="1" fieldPosition="0">
        <references count="3">
          <reference field="0" count="1" selected="0">
            <x v="1"/>
          </reference>
          <reference field="19" count="1" selected="0">
            <x v="1"/>
          </reference>
          <reference field="21" count="1">
            <x v="0"/>
          </reference>
        </references>
      </pivotArea>
    </format>
    <format dxfId="171">
      <pivotArea collapsedLevelsAreSubtotals="1" fieldPosition="0">
        <references count="1">
          <reference field="0" count="1">
            <x v="2"/>
          </reference>
        </references>
      </pivotArea>
    </format>
    <format dxfId="170">
      <pivotArea collapsedLevelsAreSubtotals="1" fieldPosition="0">
        <references count="2">
          <reference field="0" count="1" selected="0">
            <x v="2"/>
          </reference>
          <reference field="19" count="1">
            <x v="1"/>
          </reference>
        </references>
      </pivotArea>
    </format>
    <format dxfId="169">
      <pivotArea collapsedLevelsAreSubtotals="1" fieldPosition="0">
        <references count="3">
          <reference field="0" count="1" selected="0">
            <x v="2"/>
          </reference>
          <reference field="19" count="1" selected="0">
            <x v="1"/>
          </reference>
          <reference field="21" count="1">
            <x v="0"/>
          </reference>
        </references>
      </pivotArea>
    </format>
    <format dxfId="168">
      <pivotArea collapsedLevelsAreSubtotals="1" fieldPosition="0">
        <references count="1">
          <reference field="0" count="1">
            <x v="3"/>
          </reference>
        </references>
      </pivotArea>
    </format>
    <format dxfId="167">
      <pivotArea collapsedLevelsAreSubtotals="1" fieldPosition="0">
        <references count="2">
          <reference field="0" count="1" selected="0">
            <x v="3"/>
          </reference>
          <reference field="19" count="1">
            <x v="1"/>
          </reference>
        </references>
      </pivotArea>
    </format>
    <format dxfId="166">
      <pivotArea collapsedLevelsAreSubtotals="1" fieldPosition="0">
        <references count="3">
          <reference field="0" count="1" selected="0">
            <x v="3"/>
          </reference>
          <reference field="19" count="1" selected="0">
            <x v="1"/>
          </reference>
          <reference field="21" count="1">
            <x v="1"/>
          </reference>
        </references>
      </pivotArea>
    </format>
    <format dxfId="165">
      <pivotArea collapsedLevelsAreSubtotals="1" fieldPosition="0">
        <references count="1">
          <reference field="0" count="1">
            <x v="11"/>
          </reference>
        </references>
      </pivotArea>
    </format>
    <format dxfId="164">
      <pivotArea collapsedLevelsAreSubtotals="1" fieldPosition="0">
        <references count="2">
          <reference field="0" count="1" selected="0">
            <x v="11"/>
          </reference>
          <reference field="19" count="1">
            <x v="1"/>
          </reference>
        </references>
      </pivotArea>
    </format>
    <format dxfId="163">
      <pivotArea collapsedLevelsAreSubtotals="1" fieldPosition="0">
        <references count="3">
          <reference field="0" count="1" selected="0">
            <x v="11"/>
          </reference>
          <reference field="19" count="1" selected="0">
            <x v="1"/>
          </reference>
          <reference field="21" count="1">
            <x v="1"/>
          </reference>
        </references>
      </pivotArea>
    </format>
    <format dxfId="162">
      <pivotArea dataOnly="0" labelOnly="1" outline="0" fieldPosition="0">
        <references count="3">
          <reference field="0" count="1" selected="0">
            <x v="0"/>
          </reference>
          <reference field="19" count="1" selected="0">
            <x v="1"/>
          </reference>
          <reference field="21" count="1">
            <x v="0"/>
          </reference>
        </references>
      </pivotArea>
    </format>
    <format dxfId="161">
      <pivotArea dataOnly="0" labelOnly="1" outline="0" fieldPosition="0">
        <references count="3">
          <reference field="0" count="1" selected="0">
            <x v="1"/>
          </reference>
          <reference field="19" count="1" selected="0">
            <x v="1"/>
          </reference>
          <reference field="21" count="1">
            <x v="0"/>
          </reference>
        </references>
      </pivotArea>
    </format>
    <format dxfId="160">
      <pivotArea dataOnly="0" labelOnly="1" outline="0" fieldPosition="0">
        <references count="3">
          <reference field="0" count="1" selected="0">
            <x v="2"/>
          </reference>
          <reference field="19" count="1" selected="0">
            <x v="1"/>
          </reference>
          <reference field="21" count="1">
            <x v="0"/>
          </reference>
        </references>
      </pivotArea>
    </format>
    <format dxfId="159">
      <pivotArea dataOnly="0" labelOnly="1" outline="0" fieldPosition="0">
        <references count="3">
          <reference field="0" count="1" selected="0">
            <x v="3"/>
          </reference>
          <reference field="19" count="1" selected="0">
            <x v="1"/>
          </reference>
          <reference field="21" count="1">
            <x v="1"/>
          </reference>
        </references>
      </pivotArea>
    </format>
    <format dxfId="158">
      <pivotArea dataOnly="0" labelOnly="1" outline="0" fieldPosition="0">
        <references count="3">
          <reference field="0" count="1" selected="0">
            <x v="8"/>
          </reference>
          <reference field="19" count="1" selected="0">
            <x v="0"/>
          </reference>
          <reference field="21" count="1">
            <x v="0"/>
          </reference>
        </references>
      </pivotArea>
    </format>
    <format dxfId="157">
      <pivotArea dataOnly="0" labelOnly="1" outline="0" fieldPosition="0">
        <references count="3">
          <reference field="0" count="1" selected="0">
            <x v="9"/>
          </reference>
          <reference field="19" count="1" selected="0">
            <x v="0"/>
          </reference>
          <reference field="21" count="1">
            <x v="0"/>
          </reference>
        </references>
      </pivotArea>
    </format>
    <format dxfId="156">
      <pivotArea dataOnly="0" labelOnly="1" outline="0" fieldPosition="0">
        <references count="3">
          <reference field="0" count="1" selected="0">
            <x v="11"/>
          </reference>
          <reference field="19" count="1" selected="0">
            <x v="1"/>
          </reference>
          <reference field="21" count="1">
            <x v="1"/>
          </reference>
        </references>
      </pivotArea>
    </format>
    <format dxfId="155">
      <pivotArea dataOnly="0" labelOnly="1" outline="0" fieldPosition="0">
        <references count="3">
          <reference field="0" count="1" selected="0">
            <x v="12"/>
          </reference>
          <reference field="19" count="1" selected="0">
            <x v="0"/>
          </reference>
          <reference field="21" count="1">
            <x v="0"/>
          </reference>
        </references>
      </pivotArea>
    </format>
    <format dxfId="154">
      <pivotArea dataOnly="0" labelOnly="1" outline="0" fieldPosition="0">
        <references count="3">
          <reference field="0" count="1" selected="0">
            <x v="26"/>
          </reference>
          <reference field="19" count="1" selected="0">
            <x v="0"/>
          </reference>
          <reference field="21" count="1">
            <x v="0"/>
          </reference>
        </references>
      </pivotArea>
    </format>
    <format dxfId="153">
      <pivotArea dataOnly="0" labelOnly="1" outline="0" fieldPosition="0">
        <references count="3">
          <reference field="0" count="1" selected="0">
            <x v="27"/>
          </reference>
          <reference field="19" count="1" selected="0">
            <x v="0"/>
          </reference>
          <reference field="21" count="1">
            <x v="0"/>
          </reference>
        </references>
      </pivotArea>
    </format>
  </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3AD8E1-E5BF-423D-8619-CC3EE33DA0D8}" name="PivotTable6"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L14:P19" firstHeaderRow="1" firstDataRow="2" firstDataCol="1"/>
  <pivotFields count="22">
    <pivotField dataField="1" showAll="0"/>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axis="axisCol" showAll="0">
      <items count="4">
        <item x="2"/>
        <item x="1"/>
        <item x="0"/>
        <item t="default"/>
      </items>
    </pivotField>
    <pivotField showAll="0"/>
    <pivotField showAll="0"/>
    <pivotField showAll="0"/>
    <pivotField showAll="0"/>
    <pivotField showAll="0"/>
    <pivotField axis="axisRow" showAll="0">
      <items count="4">
        <item x="1"/>
        <item x="0"/>
        <item x="2"/>
        <item t="default"/>
      </items>
    </pivotField>
    <pivotField showAll="0"/>
    <pivotField showAll="0"/>
    <pivotField showAll="0"/>
  </pivotFields>
  <rowFields count="1">
    <field x="18"/>
  </rowFields>
  <rowItems count="4">
    <i>
      <x/>
    </i>
    <i>
      <x v="1"/>
    </i>
    <i>
      <x v="2"/>
    </i>
    <i t="grand">
      <x/>
    </i>
  </rowItems>
  <colFields count="1">
    <field x="12"/>
  </colFields>
  <colItems count="4">
    <i>
      <x/>
    </i>
    <i>
      <x v="1"/>
    </i>
    <i>
      <x v="2"/>
    </i>
    <i t="grand">
      <x/>
    </i>
  </colItems>
  <dataFields count="1">
    <dataField name="Count of ID_CLIENT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E06580B-8F4D-4AAF-A151-A14EE7D8968B}" name="PivotTable5"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3:T4" firstHeaderRow="1" firstDataRow="1" firstDataCol="0" rowPageCount="1" colPageCount="1"/>
  <pivotFields count="22">
    <pivotField dataField="1" showAll="0"/>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axis="axisPage" showAll="0">
      <items count="4">
        <item x="1"/>
        <item x="0"/>
        <item x="2"/>
        <item t="default"/>
      </items>
    </pivotField>
    <pivotField showAll="0"/>
    <pivotField showAll="0"/>
    <pivotField showAll="0"/>
  </pivotFields>
  <rowItems count="1">
    <i/>
  </rowItems>
  <colItems count="1">
    <i/>
  </colItems>
  <pageFields count="1">
    <pageField fld="18" item="1" hier="-1"/>
  </pageFields>
  <dataFields count="1">
    <dataField name="Count of ID_CLIENT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47489F2-AD12-4714-9759-4033B8A604C3}" name="PivotTable4"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3:H14" firstHeaderRow="1" firstDataRow="1" firstDataCol="0" rowPageCount="1" colPageCount="1"/>
  <pivotFields count="22">
    <pivotField dataField="1" showAll="0"/>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axis="axisPage" showAll="0">
      <items count="4">
        <item x="1"/>
        <item x="0"/>
        <item x="2"/>
        <item t="default"/>
      </items>
    </pivotField>
    <pivotField showAll="0"/>
    <pivotField showAll="0"/>
    <pivotField showAll="0"/>
  </pivotFields>
  <rowItems count="1">
    <i/>
  </rowItems>
  <colItems count="1">
    <i/>
  </colItems>
  <pageFields count="1">
    <pageField fld="18" item="2" hier="-1"/>
  </pageFields>
  <dataFields count="1">
    <dataField name="Count of ID_CLIENT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14D3901-AB51-43D2-AD00-DC225881132D}" name="PivotTable3"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18:Q19" firstHeaderRow="1" firstDataRow="1" firstDataCol="0" rowPageCount="1" colPageCount="1"/>
  <pivotFields count="22">
    <pivotField dataField="1" showAll="0"/>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axis="axisPage" showAll="0">
      <items count="4">
        <item x="1"/>
        <item x="0"/>
        <item x="2"/>
        <item t="default"/>
      </items>
    </pivotField>
    <pivotField showAll="0"/>
    <pivotField showAll="0"/>
    <pivotField showAll="0"/>
  </pivotFields>
  <rowItems count="1">
    <i/>
  </rowItems>
  <colItems count="1">
    <i/>
  </colItems>
  <pageFields count="1">
    <pageField fld="18" item="0" hier="-1"/>
  </pageFields>
  <dataFields count="1">
    <dataField name="Cliente Riesgo Alt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NAL_VINCULACION" xr10:uid="{F9FCC94D-0F23-461C-BE23-6BF49407CA4C}" sourceName="CANAL_VINCULACION">
  <pivotTables>
    <pivotTable tabId="5" name="PivotTable2"/>
    <pivotTable tabId="5" name="PivotTable3"/>
    <pivotTable tabId="5" name="PivotTable4"/>
    <pivotTable tabId="5" name="PivotTable5"/>
    <pivotTable tabId="5" name="PivotTable6"/>
    <pivotTable tabId="5" name="PivotTable7"/>
  </pivotTables>
  <data>
    <tabular pivotCacheId="1046342442">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PO_PERSONA" xr10:uid="{A1D4147D-1196-43BE-8BEE-AAAD148DC9CD}" sourceName="TIPO_PERSONA">
  <pivotTables>
    <pivotTable tabId="5" name="PivotTable2"/>
    <pivotTable tabId="5" name="PivotTable3"/>
    <pivotTable tabId="5" name="PivotTable4"/>
    <pivotTable tabId="5" name="PivotTable5"/>
    <pivotTable tabId="5" name="PivotTable6"/>
    <pivotTable tabId="5" name="PivotTable7"/>
  </pivotTables>
  <data>
    <tabular pivotCacheId="104634244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NAL_VINCULACION" xr10:uid="{6E73196A-A9DE-4CCE-97CF-0A4AA40F4731}" cache="Slicer_CANAL_VINCULACION" caption="                           CANAL" style="Fintech" rowHeight="257175"/>
  <slicer name="TIPO_PERSONA" xr10:uid="{69E44F2D-3DF1-47E1-A155-0030E84F68CD}" cache="Slicer_TIPO_PERSONA" caption="           TIPO DE PERSONA" style="Fintech"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6D2F7C-9158-4010-BD5E-1F361D1B7C9A}" name="AML_Reporting" displayName="AML_Reporting" ref="A1:V51" totalsRowShown="0" headerRowDxfId="204" dataDxfId="202" headerRowBorderDxfId="203" tableBorderDxfId="201" totalsRowBorderDxfId="200">
  <autoFilter ref="A1:V51" xr:uid="{BE6D2F7C-9158-4010-BD5E-1F361D1B7C9A}"/>
  <tableColumns count="22">
    <tableColumn id="1" xr3:uid="{588E5274-6D21-4F7B-AE5E-EAF7AE3484F7}" name="ID_CLIENTE" dataDxfId="199"/>
    <tableColumn id="2" xr3:uid="{B181C916-E5FB-4DE6-B3BC-CBBE5C8F3919}" name="TIPO_PERSONA" dataDxfId="198"/>
    <tableColumn id="3" xr3:uid="{C2ABDB51-72EC-4C60-9552-FB34F6388B12}" name="SECTOR_ACTIVIDAD" dataDxfId="197"/>
    <tableColumn id="4" xr3:uid="{680C7B68-2A81-4FF4-B492-B6FCB93F9658}" name="ANTIGUEDAD_ENTIDAD_AÑOS" dataDxfId="196"/>
    <tableColumn id="5" xr3:uid="{D04D917B-B2F6-4D68-941C-AF62932DAC77}" name="PEP" dataDxfId="195"/>
    <tableColumn id="6" xr3:uid="{3495E2D5-7F08-467A-A254-47B307AD2EFC}" name="FPADM" dataDxfId="194"/>
    <tableColumn id="7" xr3:uid="{49394DDD-76D6-4AD2-963F-C9418278AC53}" name="BENEFICIARIO_FINAL" dataDxfId="193"/>
    <tableColumn id="8" xr3:uid="{291D8C5B-41CB-47D2-ABF1-97060E0B54DE}" name="PUNTAJE_CLIENTE" dataDxfId="192">
      <calculatedColumnFormula>AVERAGE(VLOOKUP(E2,ESCALA_PUNTAJE!$H$2:$I$5,2,FALSE),VLOOKUP(F2,ESCALA_PUNTAJE!$H$7:$I$9,2,FALSE),VLOOKUP(G2,ESCALA_PUNTAJE!$H$11:$I$13,2,FALSE))</calculatedColumnFormula>
    </tableColumn>
    <tableColumn id="9" xr3:uid="{8385CF1A-14C9-4B27-ABEF-7945C309D587}" name="PUNTAJE_CLIENTE_PONDERADO" dataDxfId="191">
      <calculatedColumnFormula>H2*0.35</calculatedColumnFormula>
    </tableColumn>
    <tableColumn id="10" xr3:uid="{B5DEF118-9012-4FCF-B63B-B12241B415F5}" name="TIPO_PRODUCTO" dataDxfId="190"/>
    <tableColumn id="11" xr3:uid="{659B2977-76D0-4AA7-A2B1-70BC7E198864}" name="COMPLEJIDAD_PRODUCTO" dataDxfId="189"/>
    <tableColumn id="12" xr3:uid="{8B3872E0-67C1-4CAA-B6AA-A08E97CE8A9D}" name="PUNTAJE_PRODUCTO_PONDERADO" dataDxfId="188">
      <calculatedColumnFormula>AVERAGE(VLOOKUP(J2,ESCALA_PUNTAJE!$J$2:$K$4,2,FALSE),VLOOKUP(K2,ESCALA_PUNTAJE!$J$6:$K$8,2,FALSE))*0.2</calculatedColumnFormula>
    </tableColumn>
    <tableColumn id="13" xr3:uid="{9225A9C3-E2E5-4EBC-81F6-B214A2C8C3AC}" name="CANAL_VINCULACION" dataDxfId="187"/>
    <tableColumn id="14" xr3:uid="{B7B9630C-9CCA-48E4-8C8E-5C2ABB2C736B}" name="PUNTAJE_CANAL_PONDERADO" dataDxfId="186">
      <calculatedColumnFormula>VLOOKUP(M2,ESCALA_PUNTAJE!$M$2:$N$4,2,FALSE)*0.15</calculatedColumnFormula>
    </tableColumn>
    <tableColumn id="15" xr3:uid="{93F9B8D3-23FE-47BA-9D86-802868598B45}" name="JURISDICCION" dataDxfId="185"/>
    <tableColumn id="16" xr3:uid="{7B68EFAF-82D4-4A6E-BF69-5C5121B4217C}" name="PUNTAJE_GEOGRAFICO_PONDERADO" dataDxfId="184">
      <calculatedColumnFormula>VLOOKUP(O2,ESCALA_PUNTAJE!$M$6:$N$11,2,FALSE)*0.3</calculatedColumnFormula>
    </tableColumn>
    <tableColumn id="17" xr3:uid="{24A194C2-38A4-47F9-8A65-3A2479CBCA83}" name="PUNTAJE_TOTAL" dataDxfId="183">
      <calculatedColumnFormula>I2+L2+N2+P2</calculatedColumnFormula>
    </tableColumn>
    <tableColumn id="18" xr3:uid="{63C07F76-D911-46EE-AD1C-4C1AE397130F}" name="ESCALONAMIENTO_AUTOMATICO" dataDxfId="182">
      <calculatedColumnFormula>IF(OR(E2&lt;&gt;"No",F2="Coincidencia lista FPADM",G2="No identificado"),"SÍ / ALTO AUTOMÁTICO","No aplica")</calculatedColumnFormula>
    </tableColumn>
    <tableColumn id="19" xr3:uid="{98576FF6-6D50-4F31-B38F-C571715F9D20}" name="NIVEL_RIESGO_FINAL" dataDxfId="181">
      <calculatedColumnFormula>IF(R2="SÍ / ALTO AUTOMÁTICO","ALTO",IF(Q2&lt;=1.6,"BAJO",IF(Q2&lt;=2.3,"MEDIO","ALTO")) )</calculatedColumnFormula>
    </tableColumn>
    <tableColumn id="20" xr3:uid="{69D03933-AC1D-45F4-9EFA-B9AE88749B2E}" name="DILIGENCIA_APLICABLE" dataDxfId="180">
      <calculatedColumnFormula>IF(S2="BAJO","Simplificada",IF(S2="MEDIO","Media","Reforzada"))</calculatedColumnFormula>
    </tableColumn>
    <tableColumn id="21" xr3:uid="{3C7F9F11-3D92-4686-9515-D92E7022B36D}" name="COLOR_RIESGO" dataDxfId="179"/>
    <tableColumn id="22" xr3:uid="{7E1C70A3-14C4-4B9E-A0D6-44412CA21FB5}" name="OBSERVACIONES" dataDxfId="178">
      <calculatedColumnFormula>IF(R2="SÍ / ALTO AUTOMÁTICO","Escalonamiento automático: revisar DD Reforzada","")</calculatedColumnFormula>
    </tableColumn>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FEBA2-5204-4E49-AA74-C817843B71B4}">
  <dimension ref="A1:V51"/>
  <sheetViews>
    <sheetView tabSelected="1" topLeftCell="N1" zoomScale="80" zoomScaleNormal="80" workbookViewId="0">
      <selection activeCell="AI66" sqref="AI66"/>
    </sheetView>
  </sheetViews>
  <sheetFormatPr defaultRowHeight="15" x14ac:dyDescent="0.25"/>
  <cols>
    <col min="1" max="1" width="13" customWidth="1"/>
    <col min="2" max="2" width="19.7109375" customWidth="1"/>
    <col min="3" max="3" width="48.42578125" customWidth="1"/>
    <col min="4" max="4" width="30.28515625" customWidth="1"/>
    <col min="5" max="5" width="19.42578125" customWidth="1"/>
    <col min="6" max="6" width="25" customWidth="1"/>
    <col min="7" max="7" width="21.42578125" customWidth="1"/>
    <col min="8" max="8" width="20.5703125" customWidth="1"/>
    <col min="9" max="9" width="31.5703125" customWidth="1"/>
    <col min="10" max="10" width="80.5703125" customWidth="1"/>
    <col min="11" max="11" width="26.42578125" customWidth="1"/>
    <col min="12" max="12" width="34.42578125" customWidth="1"/>
    <col min="13" max="13" width="22" customWidth="1"/>
    <col min="14" max="14" width="30.28515625" customWidth="1"/>
    <col min="15" max="15" width="26.5703125" customWidth="1"/>
    <col min="16" max="16" width="36.28515625" customWidth="1"/>
    <col min="17" max="17" width="17.5703125" customWidth="1"/>
    <col min="18" max="18" width="32.5703125" customWidth="1"/>
    <col min="19" max="19" width="22.7109375" customWidth="1"/>
    <col min="20" max="20" width="23.140625" customWidth="1"/>
    <col min="21" max="21" width="17.5703125" customWidth="1"/>
    <col min="22" max="22" width="52" customWidth="1"/>
    <col min="25" max="25" width="9.140625" customWidth="1"/>
  </cols>
  <sheetData>
    <row r="1" spans="1:22" x14ac:dyDescent="0.25">
      <c r="A1" s="28" t="s">
        <v>116</v>
      </c>
      <c r="B1" s="29" t="s">
        <v>117</v>
      </c>
      <c r="C1" s="29" t="s">
        <v>118</v>
      </c>
      <c r="D1" s="29" t="s">
        <v>119</v>
      </c>
      <c r="E1" s="29" t="s">
        <v>120</v>
      </c>
      <c r="F1" s="29" t="s">
        <v>121</v>
      </c>
      <c r="G1" s="29" t="s">
        <v>122</v>
      </c>
      <c r="H1" s="29" t="s">
        <v>123</v>
      </c>
      <c r="I1" s="29" t="s">
        <v>124</v>
      </c>
      <c r="J1" s="29" t="s">
        <v>125</v>
      </c>
      <c r="K1" s="29" t="s">
        <v>126</v>
      </c>
      <c r="L1" s="29" t="s">
        <v>127</v>
      </c>
      <c r="M1" s="29" t="s">
        <v>128</v>
      </c>
      <c r="N1" s="29" t="s">
        <v>129</v>
      </c>
      <c r="O1" s="29" t="s">
        <v>130</v>
      </c>
      <c r="P1" s="29" t="s">
        <v>131</v>
      </c>
      <c r="Q1" s="29" t="s">
        <v>132</v>
      </c>
      <c r="R1" s="29" t="s">
        <v>133</v>
      </c>
      <c r="S1" s="29" t="s">
        <v>134</v>
      </c>
      <c r="T1" s="29" t="s">
        <v>135</v>
      </c>
      <c r="U1" s="29" t="s">
        <v>136</v>
      </c>
      <c r="V1" s="30" t="s">
        <v>137</v>
      </c>
    </row>
    <row r="2" spans="1:22" x14ac:dyDescent="0.25">
      <c r="A2" s="23" t="s">
        <v>0</v>
      </c>
      <c r="B2" s="13" t="s">
        <v>138</v>
      </c>
      <c r="C2" s="13" t="s">
        <v>139</v>
      </c>
      <c r="D2" s="13">
        <v>2</v>
      </c>
      <c r="E2" s="13" t="s">
        <v>140</v>
      </c>
      <c r="F2" s="13" t="s">
        <v>64</v>
      </c>
      <c r="G2" s="13" t="s">
        <v>141</v>
      </c>
      <c r="H2" s="13">
        <f>AVERAGE(VLOOKUP(E2,ESCALA_PUNTAJE!$H$2:$I$5,2,FALSE),VLOOKUP(F2,ESCALA_PUNTAJE!$H$7:$I$9,2,FALSE),VLOOKUP(G2,ESCALA_PUNTAJE!$H$11:$I$13,2,FALSE))</f>
        <v>1</v>
      </c>
      <c r="I2" s="13">
        <f>H2*0.35</f>
        <v>0.35</v>
      </c>
      <c r="J2" s="13" t="s">
        <v>73</v>
      </c>
      <c r="K2" s="13" t="s">
        <v>142</v>
      </c>
      <c r="L2" s="13">
        <f>AVERAGE(VLOOKUP(J2,ESCALA_PUNTAJE!$J$2:$K$4,2,FALSE),VLOOKUP(K2,ESCALA_PUNTAJE!$J$6:$K$8,2,FALSE))*0.2</f>
        <v>0.2</v>
      </c>
      <c r="M2" s="13" t="s">
        <v>143</v>
      </c>
      <c r="N2" s="13">
        <f>VLOOKUP(M2,ESCALA_PUNTAJE!$M$2:$N$4,2,FALSE)*0.15</f>
        <v>0.15</v>
      </c>
      <c r="O2" s="13" t="s">
        <v>90</v>
      </c>
      <c r="P2" s="13">
        <f>VLOOKUP(O2,ESCALA_PUNTAJE!$M$6:$N$11,2,FALSE)*0.3</f>
        <v>0.3</v>
      </c>
      <c r="Q2" s="13">
        <f>I2+L2+N2+P2</f>
        <v>1</v>
      </c>
      <c r="R2" s="13" t="str">
        <f>IF(OR(E2&lt;&gt;"No",F2="Coincidencia lista FPADM",G2="No identificado"),"SÍ / ALTO AUTOMÁTICO","No aplica")</f>
        <v>No aplica</v>
      </c>
      <c r="S2" s="13" t="str">
        <f>IF(R2="SÍ / ALTO AUTOMÁTICO","ALTO",IF(Q2&lt;=1.6,"BAJO",IF(Q2&lt;=2.3,"MEDIO","ALTO")) )</f>
        <v>BAJO</v>
      </c>
      <c r="T2" s="13" t="str">
        <f>IF(S2="BAJO","Simplificada",IF(S2="MEDIO","Media","Reforzada"))</f>
        <v>Simplificada</v>
      </c>
      <c r="U2" s="13"/>
      <c r="V2" s="24" t="str">
        <f>IF(R2="SÍ / ALTO AUTOMÁTICO","Escalonamiento automático: revisar DD Reforzada","")</f>
        <v/>
      </c>
    </row>
    <row r="3" spans="1:22" x14ac:dyDescent="0.25">
      <c r="A3" s="23" t="s">
        <v>1</v>
      </c>
      <c r="B3" s="13" t="s">
        <v>138</v>
      </c>
      <c r="C3" s="13" t="s">
        <v>139</v>
      </c>
      <c r="D3" s="13">
        <v>1</v>
      </c>
      <c r="E3" s="13" t="s">
        <v>140</v>
      </c>
      <c r="F3" s="13" t="s">
        <v>64</v>
      </c>
      <c r="G3" s="13" t="s">
        <v>141</v>
      </c>
      <c r="H3" s="13">
        <f>AVERAGE(VLOOKUP(E3,ESCALA_PUNTAJE!$H$2:$I$5,2,FALSE),VLOOKUP(F3,ESCALA_PUNTAJE!$H$7:$I$9,2,FALSE),VLOOKUP(G3,ESCALA_PUNTAJE!$H$11:$I$13,2,FALSE))</f>
        <v>1</v>
      </c>
      <c r="I3" s="13">
        <f t="shared" ref="I3:I51" si="0">H3*0.35</f>
        <v>0.35</v>
      </c>
      <c r="J3" s="13" t="s">
        <v>73</v>
      </c>
      <c r="K3" s="13" t="s">
        <v>142</v>
      </c>
      <c r="L3" s="13">
        <f>AVERAGE(VLOOKUP(J3,ESCALA_PUNTAJE!$J$2:$K$4,2,FALSE),VLOOKUP(K3,ESCALA_PUNTAJE!$J$6:$K$8,2,FALSE))*0.2</f>
        <v>0.2</v>
      </c>
      <c r="M3" s="13" t="s">
        <v>143</v>
      </c>
      <c r="N3" s="13">
        <f>VLOOKUP(M3,ESCALA_PUNTAJE!$M$2:$N$4,2,FALSE)*0.15</f>
        <v>0.15</v>
      </c>
      <c r="O3" s="13" t="s">
        <v>90</v>
      </c>
      <c r="P3" s="13">
        <f>VLOOKUP(O3,ESCALA_PUNTAJE!$M$6:$N$11,2,FALSE)*0.3</f>
        <v>0.3</v>
      </c>
      <c r="Q3" s="13">
        <f t="shared" ref="Q3:Q51" si="1">I3+L3+N3+P3</f>
        <v>1</v>
      </c>
      <c r="R3" s="13" t="str">
        <f t="shared" ref="R3:R51" si="2">IF(OR(E3&lt;&gt;"No",F3="Coincidencia lista FPADM",G3="No identificado"),"SÍ / ALTO AUTOMÁTICO","No aplica")</f>
        <v>No aplica</v>
      </c>
      <c r="S3" s="13" t="str">
        <f t="shared" ref="S3:S51" si="3">IF(R3="SÍ / ALTO AUTOMÁTICO","ALTO",IF(Q3&lt;=1.6,"BAJO",IF(Q3&lt;=2.3,"MEDIO","ALTO")) )</f>
        <v>BAJO</v>
      </c>
      <c r="T3" s="13" t="str">
        <f t="shared" ref="T3:T51" si="4">IF(S3="BAJO","Simplificada",IF(S3="MEDIO","Media","Reforzada"))</f>
        <v>Simplificada</v>
      </c>
      <c r="U3" s="13"/>
      <c r="V3" s="24" t="str">
        <f t="shared" ref="V3:V51" si="5">IF(R3="SÍ / ALTO AUTOMÁTICO","Escalonamiento automático: revisar DD Reforzada","")</f>
        <v/>
      </c>
    </row>
    <row r="4" spans="1:22" x14ac:dyDescent="0.25">
      <c r="A4" s="23" t="s">
        <v>2</v>
      </c>
      <c r="B4" s="13" t="s">
        <v>138</v>
      </c>
      <c r="C4" s="13" t="s">
        <v>139</v>
      </c>
      <c r="D4" s="13">
        <v>5</v>
      </c>
      <c r="E4" s="13" t="s">
        <v>140</v>
      </c>
      <c r="F4" s="13" t="s">
        <v>64</v>
      </c>
      <c r="G4" s="13" t="s">
        <v>141</v>
      </c>
      <c r="H4" s="13">
        <f>AVERAGE(VLOOKUP(E4,ESCALA_PUNTAJE!$H$2:$I$5,2,FALSE),VLOOKUP(F4,ESCALA_PUNTAJE!$H$7:$I$9,2,FALSE),VLOOKUP(G4,ESCALA_PUNTAJE!$H$11:$I$13,2,FALSE))</f>
        <v>1</v>
      </c>
      <c r="I4" s="13">
        <f t="shared" si="0"/>
        <v>0.35</v>
      </c>
      <c r="J4" s="13" t="s">
        <v>73</v>
      </c>
      <c r="K4" s="13" t="s">
        <v>142</v>
      </c>
      <c r="L4" s="13">
        <f>AVERAGE(VLOOKUP(J4,ESCALA_PUNTAJE!$J$2:$K$4,2,FALSE),VLOOKUP(K4,ESCALA_PUNTAJE!$J$6:$K$8,2,FALSE))*0.2</f>
        <v>0.2</v>
      </c>
      <c r="M4" s="13" t="s">
        <v>143</v>
      </c>
      <c r="N4" s="13">
        <f>VLOOKUP(M4,ESCALA_PUNTAJE!$M$2:$N$4,2,FALSE)*0.15</f>
        <v>0.15</v>
      </c>
      <c r="O4" s="13" t="s">
        <v>90</v>
      </c>
      <c r="P4" s="13">
        <f>VLOOKUP(O4,ESCALA_PUNTAJE!$M$6:$N$11,2,FALSE)*0.3</f>
        <v>0.3</v>
      </c>
      <c r="Q4" s="13">
        <f t="shared" si="1"/>
        <v>1</v>
      </c>
      <c r="R4" s="13" t="str">
        <f t="shared" si="2"/>
        <v>No aplica</v>
      </c>
      <c r="S4" s="13" t="str">
        <f t="shared" si="3"/>
        <v>BAJO</v>
      </c>
      <c r="T4" s="13" t="str">
        <f t="shared" si="4"/>
        <v>Simplificada</v>
      </c>
      <c r="U4" s="13"/>
      <c r="V4" s="24" t="str">
        <f t="shared" si="5"/>
        <v/>
      </c>
    </row>
    <row r="5" spans="1:22" x14ac:dyDescent="0.25">
      <c r="A5" s="23" t="s">
        <v>3</v>
      </c>
      <c r="B5" s="13" t="s">
        <v>138</v>
      </c>
      <c r="C5" s="13" t="s">
        <v>139</v>
      </c>
      <c r="D5" s="13">
        <v>4</v>
      </c>
      <c r="E5" s="13" t="s">
        <v>140</v>
      </c>
      <c r="F5" s="13" t="s">
        <v>64</v>
      </c>
      <c r="G5" s="13" t="s">
        <v>141</v>
      </c>
      <c r="H5" s="13">
        <f>AVERAGE(VLOOKUP(E5,ESCALA_PUNTAJE!$H$2:$I$5,2,FALSE),VLOOKUP(F5,ESCALA_PUNTAJE!$H$7:$I$9,2,FALSE),VLOOKUP(G5,ESCALA_PUNTAJE!$H$11:$I$13,2,FALSE))</f>
        <v>1</v>
      </c>
      <c r="I5" s="13">
        <f t="shared" si="0"/>
        <v>0.35</v>
      </c>
      <c r="J5" s="13" t="s">
        <v>73</v>
      </c>
      <c r="K5" s="13" t="s">
        <v>142</v>
      </c>
      <c r="L5" s="13">
        <f>AVERAGE(VLOOKUP(J5,ESCALA_PUNTAJE!$J$2:$K$4,2,FALSE),VLOOKUP(K5,ESCALA_PUNTAJE!$J$6:$K$8,2,FALSE))*0.2</f>
        <v>0.2</v>
      </c>
      <c r="M5" s="13" t="s">
        <v>143</v>
      </c>
      <c r="N5" s="13">
        <f>VLOOKUP(M5,ESCALA_PUNTAJE!$M$2:$N$4,2,FALSE)*0.15</f>
        <v>0.15</v>
      </c>
      <c r="O5" s="13" t="s">
        <v>90</v>
      </c>
      <c r="P5" s="13">
        <f>VLOOKUP(O5,ESCALA_PUNTAJE!$M$6:$N$11,2,FALSE)*0.3</f>
        <v>0.3</v>
      </c>
      <c r="Q5" s="13">
        <f t="shared" si="1"/>
        <v>1</v>
      </c>
      <c r="R5" s="13" t="str">
        <f t="shared" si="2"/>
        <v>No aplica</v>
      </c>
      <c r="S5" s="13" t="str">
        <f t="shared" si="3"/>
        <v>BAJO</v>
      </c>
      <c r="T5" s="13" t="str">
        <f t="shared" si="4"/>
        <v>Simplificada</v>
      </c>
      <c r="U5" s="13"/>
      <c r="V5" s="24" t="str">
        <f t="shared" si="5"/>
        <v/>
      </c>
    </row>
    <row r="6" spans="1:22" x14ac:dyDescent="0.25">
      <c r="A6" s="23" t="s">
        <v>4</v>
      </c>
      <c r="B6" s="13" t="s">
        <v>138</v>
      </c>
      <c r="C6" s="13" t="s">
        <v>139</v>
      </c>
      <c r="D6" s="13">
        <v>4</v>
      </c>
      <c r="E6" s="13" t="s">
        <v>140</v>
      </c>
      <c r="F6" s="13" t="s">
        <v>64</v>
      </c>
      <c r="G6" s="13" t="s">
        <v>141</v>
      </c>
      <c r="H6" s="13">
        <f>AVERAGE(VLOOKUP(E6,ESCALA_PUNTAJE!$H$2:$I$5,2,FALSE),VLOOKUP(F6,ESCALA_PUNTAJE!$H$7:$I$9,2,FALSE),VLOOKUP(G6,ESCALA_PUNTAJE!$H$11:$I$13,2,FALSE))</f>
        <v>1</v>
      </c>
      <c r="I6" s="13">
        <f t="shared" si="0"/>
        <v>0.35</v>
      </c>
      <c r="J6" s="13" t="s">
        <v>73</v>
      </c>
      <c r="K6" s="13" t="s">
        <v>142</v>
      </c>
      <c r="L6" s="13">
        <f>AVERAGE(VLOOKUP(J6,ESCALA_PUNTAJE!$J$2:$K$4,2,FALSE),VLOOKUP(K6,ESCALA_PUNTAJE!$J$6:$K$8,2,FALSE))*0.2</f>
        <v>0.2</v>
      </c>
      <c r="M6" s="13" t="s">
        <v>143</v>
      </c>
      <c r="N6" s="13">
        <f>VLOOKUP(M6,ESCALA_PUNTAJE!$M$2:$N$4,2,FALSE)*0.15</f>
        <v>0.15</v>
      </c>
      <c r="O6" s="13" t="s">
        <v>90</v>
      </c>
      <c r="P6" s="13">
        <f>VLOOKUP(O6,ESCALA_PUNTAJE!$M$6:$N$11,2,FALSE)*0.3</f>
        <v>0.3</v>
      </c>
      <c r="Q6" s="13">
        <f t="shared" si="1"/>
        <v>1</v>
      </c>
      <c r="R6" s="13" t="str">
        <f t="shared" si="2"/>
        <v>No aplica</v>
      </c>
      <c r="S6" s="13" t="str">
        <f t="shared" si="3"/>
        <v>BAJO</v>
      </c>
      <c r="T6" s="13" t="str">
        <f t="shared" si="4"/>
        <v>Simplificada</v>
      </c>
      <c r="U6" s="13"/>
      <c r="V6" s="24" t="str">
        <f t="shared" si="5"/>
        <v/>
      </c>
    </row>
    <row r="7" spans="1:22" x14ac:dyDescent="0.25">
      <c r="A7" s="23" t="s">
        <v>5</v>
      </c>
      <c r="B7" s="13" t="s">
        <v>138</v>
      </c>
      <c r="C7" s="13" t="s">
        <v>139</v>
      </c>
      <c r="D7" s="13">
        <v>3</v>
      </c>
      <c r="E7" s="13" t="s">
        <v>140</v>
      </c>
      <c r="F7" s="13" t="s">
        <v>64</v>
      </c>
      <c r="G7" s="13" t="s">
        <v>141</v>
      </c>
      <c r="H7" s="13">
        <f>AVERAGE(VLOOKUP(E7,ESCALA_PUNTAJE!$H$2:$I$5,2,FALSE),VLOOKUP(F7,ESCALA_PUNTAJE!$H$7:$I$9,2,FALSE),VLOOKUP(G7,ESCALA_PUNTAJE!$H$11:$I$13,2,FALSE))</f>
        <v>1</v>
      </c>
      <c r="I7" s="13">
        <f t="shared" si="0"/>
        <v>0.35</v>
      </c>
      <c r="J7" s="13" t="s">
        <v>73</v>
      </c>
      <c r="K7" s="13" t="s">
        <v>142</v>
      </c>
      <c r="L7" s="13">
        <f>AVERAGE(VLOOKUP(J7,ESCALA_PUNTAJE!$J$2:$K$4,2,FALSE),VLOOKUP(K7,ESCALA_PUNTAJE!$J$6:$K$8,2,FALSE))*0.2</f>
        <v>0.2</v>
      </c>
      <c r="M7" s="13" t="s">
        <v>143</v>
      </c>
      <c r="N7" s="13">
        <f>VLOOKUP(M7,ESCALA_PUNTAJE!$M$2:$N$4,2,FALSE)*0.15</f>
        <v>0.15</v>
      </c>
      <c r="O7" s="13" t="s">
        <v>90</v>
      </c>
      <c r="P7" s="13">
        <f>VLOOKUP(O7,ESCALA_PUNTAJE!$M$6:$N$11,2,FALSE)*0.3</f>
        <v>0.3</v>
      </c>
      <c r="Q7" s="13">
        <f t="shared" si="1"/>
        <v>1</v>
      </c>
      <c r="R7" s="13" t="str">
        <f t="shared" si="2"/>
        <v>No aplica</v>
      </c>
      <c r="S7" s="13" t="str">
        <f t="shared" si="3"/>
        <v>BAJO</v>
      </c>
      <c r="T7" s="13" t="str">
        <f t="shared" si="4"/>
        <v>Simplificada</v>
      </c>
      <c r="U7" s="13"/>
      <c r="V7" s="24" t="str">
        <f t="shared" si="5"/>
        <v/>
      </c>
    </row>
    <row r="8" spans="1:22" x14ac:dyDescent="0.25">
      <c r="A8" s="23" t="s">
        <v>6</v>
      </c>
      <c r="B8" s="13" t="s">
        <v>138</v>
      </c>
      <c r="C8" s="13" t="s">
        <v>139</v>
      </c>
      <c r="D8" s="13">
        <v>2</v>
      </c>
      <c r="E8" s="13" t="s">
        <v>140</v>
      </c>
      <c r="F8" s="13" t="s">
        <v>64</v>
      </c>
      <c r="G8" s="13" t="s">
        <v>141</v>
      </c>
      <c r="H8" s="13">
        <f>AVERAGE(VLOOKUP(E8,ESCALA_PUNTAJE!$H$2:$I$5,2,FALSE),VLOOKUP(F8,ESCALA_PUNTAJE!$H$7:$I$9,2,FALSE),VLOOKUP(G8,ESCALA_PUNTAJE!$H$11:$I$13,2,FALSE))</f>
        <v>1</v>
      </c>
      <c r="I8" s="13">
        <f t="shared" si="0"/>
        <v>0.35</v>
      </c>
      <c r="J8" s="13" t="s">
        <v>73</v>
      </c>
      <c r="K8" s="13" t="s">
        <v>142</v>
      </c>
      <c r="L8" s="13">
        <f>AVERAGE(VLOOKUP(J8,ESCALA_PUNTAJE!$J$2:$K$4,2,FALSE),VLOOKUP(K8,ESCALA_PUNTAJE!$J$6:$K$8,2,FALSE))*0.2</f>
        <v>0.2</v>
      </c>
      <c r="M8" s="13" t="s">
        <v>143</v>
      </c>
      <c r="N8" s="13">
        <f>VLOOKUP(M8,ESCALA_PUNTAJE!$M$2:$N$4,2,FALSE)*0.15</f>
        <v>0.15</v>
      </c>
      <c r="O8" s="13" t="s">
        <v>90</v>
      </c>
      <c r="P8" s="13">
        <f>VLOOKUP(O8,ESCALA_PUNTAJE!$M$6:$N$11,2,FALSE)*0.3</f>
        <v>0.3</v>
      </c>
      <c r="Q8" s="13">
        <f t="shared" si="1"/>
        <v>1</v>
      </c>
      <c r="R8" s="13" t="str">
        <f t="shared" si="2"/>
        <v>No aplica</v>
      </c>
      <c r="S8" s="13" t="str">
        <f t="shared" si="3"/>
        <v>BAJO</v>
      </c>
      <c r="T8" s="13" t="str">
        <f t="shared" si="4"/>
        <v>Simplificada</v>
      </c>
      <c r="U8" s="13"/>
      <c r="V8" s="24" t="str">
        <f t="shared" si="5"/>
        <v/>
      </c>
    </row>
    <row r="9" spans="1:22" x14ac:dyDescent="0.25">
      <c r="A9" s="23" t="s">
        <v>7</v>
      </c>
      <c r="B9" s="13" t="s">
        <v>138</v>
      </c>
      <c r="C9" s="13" t="s">
        <v>139</v>
      </c>
      <c r="D9" s="13">
        <v>9</v>
      </c>
      <c r="E9" s="13" t="s">
        <v>140</v>
      </c>
      <c r="F9" s="13" t="s">
        <v>64</v>
      </c>
      <c r="G9" s="13" t="s">
        <v>141</v>
      </c>
      <c r="H9" s="13">
        <f>AVERAGE(VLOOKUP(E9,ESCALA_PUNTAJE!$H$2:$I$5,2,FALSE),VLOOKUP(F9,ESCALA_PUNTAJE!$H$7:$I$9,2,FALSE),VLOOKUP(G9,ESCALA_PUNTAJE!$H$11:$I$13,2,FALSE))</f>
        <v>1</v>
      </c>
      <c r="I9" s="13">
        <f t="shared" si="0"/>
        <v>0.35</v>
      </c>
      <c r="J9" s="13" t="s">
        <v>73</v>
      </c>
      <c r="K9" s="13" t="s">
        <v>142</v>
      </c>
      <c r="L9" s="13">
        <f>AVERAGE(VLOOKUP(J9,ESCALA_PUNTAJE!$J$2:$K$4,2,FALSE),VLOOKUP(K9,ESCALA_PUNTAJE!$J$6:$K$8,2,FALSE))*0.2</f>
        <v>0.2</v>
      </c>
      <c r="M9" s="13" t="s">
        <v>143</v>
      </c>
      <c r="N9" s="13">
        <f>VLOOKUP(M9,ESCALA_PUNTAJE!$M$2:$N$4,2,FALSE)*0.15</f>
        <v>0.15</v>
      </c>
      <c r="O9" s="13" t="s">
        <v>90</v>
      </c>
      <c r="P9" s="13">
        <f>VLOOKUP(O9,ESCALA_PUNTAJE!$M$6:$N$11,2,FALSE)*0.3</f>
        <v>0.3</v>
      </c>
      <c r="Q9" s="13">
        <f t="shared" si="1"/>
        <v>1</v>
      </c>
      <c r="R9" s="13" t="str">
        <f t="shared" si="2"/>
        <v>No aplica</v>
      </c>
      <c r="S9" s="13" t="str">
        <f t="shared" si="3"/>
        <v>BAJO</v>
      </c>
      <c r="T9" s="13" t="str">
        <f t="shared" si="4"/>
        <v>Simplificada</v>
      </c>
      <c r="U9" s="13"/>
      <c r="V9" s="24" t="str">
        <f t="shared" si="5"/>
        <v/>
      </c>
    </row>
    <row r="10" spans="1:22" x14ac:dyDescent="0.25">
      <c r="A10" s="23" t="s">
        <v>8</v>
      </c>
      <c r="B10" s="13" t="s">
        <v>138</v>
      </c>
      <c r="C10" s="13" t="s">
        <v>139</v>
      </c>
      <c r="D10" s="13">
        <v>2</v>
      </c>
      <c r="E10" s="13" t="s">
        <v>140</v>
      </c>
      <c r="F10" s="13" t="s">
        <v>64</v>
      </c>
      <c r="G10" s="13" t="s">
        <v>141</v>
      </c>
      <c r="H10" s="13">
        <f>AVERAGE(VLOOKUP(E10,ESCALA_PUNTAJE!$H$2:$I$5,2,FALSE),VLOOKUP(F10,ESCALA_PUNTAJE!$H$7:$I$9,2,FALSE),VLOOKUP(G10,ESCALA_PUNTAJE!$H$11:$I$13,2,FALSE))</f>
        <v>1</v>
      </c>
      <c r="I10" s="13">
        <f t="shared" si="0"/>
        <v>0.35</v>
      </c>
      <c r="J10" s="13" t="s">
        <v>73</v>
      </c>
      <c r="K10" s="13" t="s">
        <v>142</v>
      </c>
      <c r="L10" s="13">
        <f>AVERAGE(VLOOKUP(J10,ESCALA_PUNTAJE!$J$2:$K$4,2,FALSE),VLOOKUP(K10,ESCALA_PUNTAJE!$J$6:$K$8,2,FALSE))*0.2</f>
        <v>0.2</v>
      </c>
      <c r="M10" s="13" t="s">
        <v>143</v>
      </c>
      <c r="N10" s="13">
        <f>VLOOKUP(M10,ESCALA_PUNTAJE!$M$2:$N$4,2,FALSE)*0.15</f>
        <v>0.15</v>
      </c>
      <c r="O10" s="13" t="s">
        <v>90</v>
      </c>
      <c r="P10" s="13">
        <f>VLOOKUP(O10,ESCALA_PUNTAJE!$M$6:$N$11,2,FALSE)*0.3</f>
        <v>0.3</v>
      </c>
      <c r="Q10" s="13">
        <f t="shared" si="1"/>
        <v>1</v>
      </c>
      <c r="R10" s="13" t="str">
        <f t="shared" si="2"/>
        <v>No aplica</v>
      </c>
      <c r="S10" s="13" t="str">
        <f t="shared" si="3"/>
        <v>BAJO</v>
      </c>
      <c r="T10" s="13" t="str">
        <f t="shared" si="4"/>
        <v>Simplificada</v>
      </c>
      <c r="U10" s="13"/>
      <c r="V10" s="24" t="str">
        <f t="shared" si="5"/>
        <v/>
      </c>
    </row>
    <row r="11" spans="1:22" x14ac:dyDescent="0.25">
      <c r="A11" s="23" t="s">
        <v>9</v>
      </c>
      <c r="B11" s="13" t="s">
        <v>138</v>
      </c>
      <c r="C11" s="13" t="s">
        <v>139</v>
      </c>
      <c r="D11" s="13">
        <v>10</v>
      </c>
      <c r="E11" s="13" t="s">
        <v>140</v>
      </c>
      <c r="F11" s="13" t="s">
        <v>64</v>
      </c>
      <c r="G11" s="13" t="s">
        <v>141</v>
      </c>
      <c r="H11" s="13">
        <f>AVERAGE(VLOOKUP(E11,ESCALA_PUNTAJE!$H$2:$I$5,2,FALSE),VLOOKUP(F11,ESCALA_PUNTAJE!$H$7:$I$9,2,FALSE),VLOOKUP(G11,ESCALA_PUNTAJE!$H$11:$I$13,2,FALSE))</f>
        <v>1</v>
      </c>
      <c r="I11" s="13">
        <f t="shared" si="0"/>
        <v>0.35</v>
      </c>
      <c r="J11" s="13" t="s">
        <v>73</v>
      </c>
      <c r="K11" s="13" t="s">
        <v>142</v>
      </c>
      <c r="L11" s="13">
        <f>AVERAGE(VLOOKUP(J11,ESCALA_PUNTAJE!$J$2:$K$4,2,FALSE),VLOOKUP(K11,ESCALA_PUNTAJE!$J$6:$K$8,2,FALSE))*0.2</f>
        <v>0.2</v>
      </c>
      <c r="M11" s="13" t="s">
        <v>143</v>
      </c>
      <c r="N11" s="13">
        <f>VLOOKUP(M11,ESCALA_PUNTAJE!$M$2:$N$4,2,FALSE)*0.15</f>
        <v>0.15</v>
      </c>
      <c r="O11" s="13" t="s">
        <v>90</v>
      </c>
      <c r="P11" s="13">
        <f>VLOOKUP(O11,ESCALA_PUNTAJE!$M$6:$N$11,2,FALSE)*0.3</f>
        <v>0.3</v>
      </c>
      <c r="Q11" s="13">
        <f t="shared" si="1"/>
        <v>1</v>
      </c>
      <c r="R11" s="13" t="str">
        <f t="shared" si="2"/>
        <v>No aplica</v>
      </c>
      <c r="S11" s="13" t="str">
        <f t="shared" si="3"/>
        <v>BAJO</v>
      </c>
      <c r="T11" s="13" t="str">
        <f t="shared" si="4"/>
        <v>Simplificada</v>
      </c>
      <c r="U11" s="13"/>
      <c r="V11" s="24" t="str">
        <f t="shared" si="5"/>
        <v/>
      </c>
    </row>
    <row r="12" spans="1:22" x14ac:dyDescent="0.25">
      <c r="A12" s="23" t="s">
        <v>10</v>
      </c>
      <c r="B12" s="13" t="s">
        <v>138</v>
      </c>
      <c r="C12" s="13" t="s">
        <v>139</v>
      </c>
      <c r="D12" s="13">
        <v>7</v>
      </c>
      <c r="E12" s="13" t="s">
        <v>140</v>
      </c>
      <c r="F12" s="13" t="s">
        <v>64</v>
      </c>
      <c r="G12" s="13" t="s">
        <v>141</v>
      </c>
      <c r="H12" s="13">
        <f>AVERAGE(VLOOKUP(E12,ESCALA_PUNTAJE!$H$2:$I$5,2,FALSE),VLOOKUP(F12,ESCALA_PUNTAJE!$H$7:$I$9,2,FALSE),VLOOKUP(G12,ESCALA_PUNTAJE!$H$11:$I$13,2,FALSE))</f>
        <v>1</v>
      </c>
      <c r="I12" s="13">
        <f t="shared" si="0"/>
        <v>0.35</v>
      </c>
      <c r="J12" s="13" t="s">
        <v>73</v>
      </c>
      <c r="K12" s="13" t="s">
        <v>142</v>
      </c>
      <c r="L12" s="13">
        <f>AVERAGE(VLOOKUP(J12,ESCALA_PUNTAJE!$J$2:$K$4,2,FALSE),VLOOKUP(K12,ESCALA_PUNTAJE!$J$6:$K$8,2,FALSE))*0.2</f>
        <v>0.2</v>
      </c>
      <c r="M12" s="13" t="s">
        <v>143</v>
      </c>
      <c r="N12" s="13">
        <f>VLOOKUP(M12,ESCALA_PUNTAJE!$M$2:$N$4,2,FALSE)*0.15</f>
        <v>0.15</v>
      </c>
      <c r="O12" s="13" t="s">
        <v>90</v>
      </c>
      <c r="P12" s="13">
        <f>VLOOKUP(O12,ESCALA_PUNTAJE!$M$6:$N$11,2,FALSE)*0.3</f>
        <v>0.3</v>
      </c>
      <c r="Q12" s="13">
        <f t="shared" si="1"/>
        <v>1</v>
      </c>
      <c r="R12" s="13" t="str">
        <f t="shared" si="2"/>
        <v>No aplica</v>
      </c>
      <c r="S12" s="13" t="str">
        <f t="shared" si="3"/>
        <v>BAJO</v>
      </c>
      <c r="T12" s="13" t="str">
        <f t="shared" si="4"/>
        <v>Simplificada</v>
      </c>
      <c r="U12" s="13"/>
      <c r="V12" s="24" t="str">
        <f t="shared" si="5"/>
        <v/>
      </c>
    </row>
    <row r="13" spans="1:22" x14ac:dyDescent="0.25">
      <c r="A13" s="23" t="s">
        <v>11</v>
      </c>
      <c r="B13" s="13" t="s">
        <v>138</v>
      </c>
      <c r="C13" s="13" t="s">
        <v>139</v>
      </c>
      <c r="D13" s="13">
        <v>1</v>
      </c>
      <c r="E13" s="13" t="s">
        <v>140</v>
      </c>
      <c r="F13" s="13" t="s">
        <v>64</v>
      </c>
      <c r="G13" s="13" t="s">
        <v>141</v>
      </c>
      <c r="H13" s="13">
        <f>AVERAGE(VLOOKUP(E13,ESCALA_PUNTAJE!$H$2:$I$5,2,FALSE),VLOOKUP(F13,ESCALA_PUNTAJE!$H$7:$I$9,2,FALSE),VLOOKUP(G13,ESCALA_PUNTAJE!$H$11:$I$13,2,FALSE))</f>
        <v>1</v>
      </c>
      <c r="I13" s="13">
        <f t="shared" si="0"/>
        <v>0.35</v>
      </c>
      <c r="J13" s="13" t="s">
        <v>73</v>
      </c>
      <c r="K13" s="13" t="s">
        <v>142</v>
      </c>
      <c r="L13" s="13">
        <f>AVERAGE(VLOOKUP(J13,ESCALA_PUNTAJE!$J$2:$K$4,2,FALSE),VLOOKUP(K13,ESCALA_PUNTAJE!$J$6:$K$8,2,FALSE))*0.2</f>
        <v>0.2</v>
      </c>
      <c r="M13" s="13" t="s">
        <v>143</v>
      </c>
      <c r="N13" s="13">
        <f>VLOOKUP(M13,ESCALA_PUNTAJE!$M$2:$N$4,2,FALSE)*0.15</f>
        <v>0.15</v>
      </c>
      <c r="O13" s="13" t="s">
        <v>90</v>
      </c>
      <c r="P13" s="13">
        <f>VLOOKUP(O13,ESCALA_PUNTAJE!$M$6:$N$11,2,FALSE)*0.3</f>
        <v>0.3</v>
      </c>
      <c r="Q13" s="13">
        <f t="shared" si="1"/>
        <v>1</v>
      </c>
      <c r="R13" s="13" t="str">
        <f t="shared" si="2"/>
        <v>No aplica</v>
      </c>
      <c r="S13" s="13" t="str">
        <f t="shared" si="3"/>
        <v>BAJO</v>
      </c>
      <c r="T13" s="13" t="str">
        <f t="shared" si="4"/>
        <v>Simplificada</v>
      </c>
      <c r="U13" s="13"/>
      <c r="V13" s="24" t="str">
        <f t="shared" si="5"/>
        <v/>
      </c>
    </row>
    <row r="14" spans="1:22" x14ac:dyDescent="0.25">
      <c r="A14" s="23" t="s">
        <v>12</v>
      </c>
      <c r="B14" s="13" t="s">
        <v>138</v>
      </c>
      <c r="C14" s="13" t="s">
        <v>144</v>
      </c>
      <c r="D14" s="13">
        <v>0</v>
      </c>
      <c r="E14" s="13" t="s">
        <v>145</v>
      </c>
      <c r="F14" s="13" t="s">
        <v>64</v>
      </c>
      <c r="G14" s="13" t="s">
        <v>141</v>
      </c>
      <c r="H14" s="13">
        <f>AVERAGE(VLOOKUP(E14,ESCALA_PUNTAJE!$H$2:$I$5,2,FALSE),VLOOKUP(F14,ESCALA_PUNTAJE!$H$7:$I$9,2,FALSE),VLOOKUP(G14,ESCALA_PUNTAJE!$H$11:$I$13,2,FALSE))</f>
        <v>1.3333333333333333</v>
      </c>
      <c r="I14" s="13">
        <f t="shared" si="0"/>
        <v>0.46666666666666662</v>
      </c>
      <c r="J14" s="13" t="s">
        <v>74</v>
      </c>
      <c r="K14" s="13" t="s">
        <v>146</v>
      </c>
      <c r="L14" s="13">
        <f>AVERAGE(VLOOKUP(J14,ESCALA_PUNTAJE!$J$2:$K$4,2,FALSE),VLOOKUP(K14,ESCALA_PUNTAJE!$J$6:$K$8,2,FALSE))*0.2</f>
        <v>0.4</v>
      </c>
      <c r="M14" s="13" t="s">
        <v>147</v>
      </c>
      <c r="N14" s="13">
        <f>VLOOKUP(M14,ESCALA_PUNTAJE!$M$2:$N$4,2,FALSE)*0.15</f>
        <v>0.3</v>
      </c>
      <c r="O14" s="13" t="s">
        <v>148</v>
      </c>
      <c r="P14" s="13">
        <f>VLOOKUP(O14,ESCALA_PUNTAJE!$M$6:$N$11,2,FALSE)*0.3</f>
        <v>0.6</v>
      </c>
      <c r="Q14" s="13">
        <f t="shared" si="1"/>
        <v>1.7666666666666666</v>
      </c>
      <c r="R14" s="13" t="str">
        <f t="shared" si="2"/>
        <v>SÍ / ALTO AUTOMÁTICO</v>
      </c>
      <c r="S14" s="13" t="str">
        <f t="shared" si="3"/>
        <v>ALTO</v>
      </c>
      <c r="T14" s="13" t="str">
        <f t="shared" si="4"/>
        <v>Reforzada</v>
      </c>
      <c r="U14" s="13"/>
      <c r="V14" s="24" t="str">
        <f t="shared" si="5"/>
        <v>Escalonamiento automático: revisar DD Reforzada</v>
      </c>
    </row>
    <row r="15" spans="1:22" x14ac:dyDescent="0.25">
      <c r="A15" s="23" t="s">
        <v>13</v>
      </c>
      <c r="B15" s="13" t="s">
        <v>138</v>
      </c>
      <c r="C15" s="13" t="s">
        <v>144</v>
      </c>
      <c r="D15" s="13">
        <v>8</v>
      </c>
      <c r="E15" s="13" t="s">
        <v>145</v>
      </c>
      <c r="F15" s="13" t="s">
        <v>64</v>
      </c>
      <c r="G15" s="13" t="s">
        <v>141</v>
      </c>
      <c r="H15" s="13">
        <f>AVERAGE(VLOOKUP(E15,ESCALA_PUNTAJE!$H$2:$I$5,2,FALSE),VLOOKUP(F15,ESCALA_PUNTAJE!$H$7:$I$9,2,FALSE),VLOOKUP(G15,ESCALA_PUNTAJE!$H$11:$I$13,2,FALSE))</f>
        <v>1.3333333333333333</v>
      </c>
      <c r="I15" s="13">
        <f t="shared" si="0"/>
        <v>0.46666666666666662</v>
      </c>
      <c r="J15" s="13" t="s">
        <v>74</v>
      </c>
      <c r="K15" s="13" t="s">
        <v>146</v>
      </c>
      <c r="L15" s="13">
        <f>AVERAGE(VLOOKUP(J15,ESCALA_PUNTAJE!$J$2:$K$4,2,FALSE),VLOOKUP(K15,ESCALA_PUNTAJE!$J$6:$K$8,2,FALSE))*0.2</f>
        <v>0.4</v>
      </c>
      <c r="M15" s="13" t="s">
        <v>147</v>
      </c>
      <c r="N15" s="13">
        <f>VLOOKUP(M15,ESCALA_PUNTAJE!$M$2:$N$4,2,FALSE)*0.15</f>
        <v>0.3</v>
      </c>
      <c r="O15" s="13" t="s">
        <v>148</v>
      </c>
      <c r="P15" s="13">
        <f>VLOOKUP(O15,ESCALA_PUNTAJE!$M$6:$N$11,2,FALSE)*0.3</f>
        <v>0.6</v>
      </c>
      <c r="Q15" s="13">
        <f t="shared" si="1"/>
        <v>1.7666666666666666</v>
      </c>
      <c r="R15" s="13" t="str">
        <f t="shared" si="2"/>
        <v>SÍ / ALTO AUTOMÁTICO</v>
      </c>
      <c r="S15" s="13" t="str">
        <f t="shared" si="3"/>
        <v>ALTO</v>
      </c>
      <c r="T15" s="13" t="str">
        <f t="shared" si="4"/>
        <v>Reforzada</v>
      </c>
      <c r="U15" s="13"/>
      <c r="V15" s="24" t="str">
        <f t="shared" si="5"/>
        <v>Escalonamiento automático: revisar DD Reforzada</v>
      </c>
    </row>
    <row r="16" spans="1:22" x14ac:dyDescent="0.25">
      <c r="A16" s="23" t="s">
        <v>14</v>
      </c>
      <c r="B16" s="13" t="s">
        <v>138</v>
      </c>
      <c r="C16" s="13" t="s">
        <v>144</v>
      </c>
      <c r="D16" s="13">
        <v>3</v>
      </c>
      <c r="E16" s="13" t="s">
        <v>140</v>
      </c>
      <c r="F16" s="13" t="s">
        <v>64</v>
      </c>
      <c r="G16" s="13" t="s">
        <v>141</v>
      </c>
      <c r="H16" s="13">
        <f>AVERAGE(VLOOKUP(E16,ESCALA_PUNTAJE!$H$2:$I$5,2,FALSE),VLOOKUP(F16,ESCALA_PUNTAJE!$H$7:$I$9,2,FALSE),VLOOKUP(G16,ESCALA_PUNTAJE!$H$11:$I$13,2,FALSE))</f>
        <v>1</v>
      </c>
      <c r="I16" s="13">
        <f t="shared" si="0"/>
        <v>0.35</v>
      </c>
      <c r="J16" s="13" t="s">
        <v>74</v>
      </c>
      <c r="K16" s="13" t="s">
        <v>146</v>
      </c>
      <c r="L16" s="13">
        <f>AVERAGE(VLOOKUP(J16,ESCALA_PUNTAJE!$J$2:$K$4,2,FALSE),VLOOKUP(K16,ESCALA_PUNTAJE!$J$6:$K$8,2,FALSE))*0.2</f>
        <v>0.4</v>
      </c>
      <c r="M16" s="13" t="s">
        <v>147</v>
      </c>
      <c r="N16" s="13">
        <f>VLOOKUP(M16,ESCALA_PUNTAJE!$M$2:$N$4,2,FALSE)*0.15</f>
        <v>0.3</v>
      </c>
      <c r="O16" s="13" t="s">
        <v>148</v>
      </c>
      <c r="P16" s="13">
        <f>VLOOKUP(O16,ESCALA_PUNTAJE!$M$6:$N$11,2,FALSE)*0.3</f>
        <v>0.6</v>
      </c>
      <c r="Q16" s="13">
        <f t="shared" si="1"/>
        <v>1.65</v>
      </c>
      <c r="R16" s="13" t="str">
        <f t="shared" si="2"/>
        <v>No aplica</v>
      </c>
      <c r="S16" s="13" t="str">
        <f t="shared" si="3"/>
        <v>MEDIO</v>
      </c>
      <c r="T16" s="13" t="str">
        <f t="shared" si="4"/>
        <v>Media</v>
      </c>
      <c r="U16" s="13"/>
      <c r="V16" s="24" t="str">
        <f t="shared" si="5"/>
        <v/>
      </c>
    </row>
    <row r="17" spans="1:22" x14ac:dyDescent="0.25">
      <c r="A17" s="23" t="s">
        <v>15</v>
      </c>
      <c r="B17" s="13" t="s">
        <v>138</v>
      </c>
      <c r="C17" s="13" t="s">
        <v>144</v>
      </c>
      <c r="D17" s="13">
        <v>12</v>
      </c>
      <c r="E17" s="13" t="s">
        <v>140</v>
      </c>
      <c r="F17" s="13" t="s">
        <v>64</v>
      </c>
      <c r="G17" s="13" t="s">
        <v>141</v>
      </c>
      <c r="H17" s="13">
        <f>AVERAGE(VLOOKUP(E17,ESCALA_PUNTAJE!$H$2:$I$5,2,FALSE),VLOOKUP(F17,ESCALA_PUNTAJE!$H$7:$I$9,2,FALSE),VLOOKUP(G17,ESCALA_PUNTAJE!$H$11:$I$13,2,FALSE))</f>
        <v>1</v>
      </c>
      <c r="I17" s="13">
        <f t="shared" si="0"/>
        <v>0.35</v>
      </c>
      <c r="J17" s="13" t="s">
        <v>74</v>
      </c>
      <c r="K17" s="13" t="s">
        <v>146</v>
      </c>
      <c r="L17" s="13">
        <f>AVERAGE(VLOOKUP(J17,ESCALA_PUNTAJE!$J$2:$K$4,2,FALSE),VLOOKUP(K17,ESCALA_PUNTAJE!$J$6:$K$8,2,FALSE))*0.2</f>
        <v>0.4</v>
      </c>
      <c r="M17" s="13" t="s">
        <v>147</v>
      </c>
      <c r="N17" s="13">
        <f>VLOOKUP(M17,ESCALA_PUNTAJE!$M$2:$N$4,2,FALSE)*0.15</f>
        <v>0.3</v>
      </c>
      <c r="O17" s="13" t="s">
        <v>148</v>
      </c>
      <c r="P17" s="13">
        <f>VLOOKUP(O17,ESCALA_PUNTAJE!$M$6:$N$11,2,FALSE)*0.3</f>
        <v>0.6</v>
      </c>
      <c r="Q17" s="13">
        <f t="shared" si="1"/>
        <v>1.65</v>
      </c>
      <c r="R17" s="13" t="str">
        <f t="shared" si="2"/>
        <v>No aplica</v>
      </c>
      <c r="S17" s="13" t="str">
        <f t="shared" si="3"/>
        <v>MEDIO</v>
      </c>
      <c r="T17" s="13" t="str">
        <f t="shared" si="4"/>
        <v>Media</v>
      </c>
      <c r="U17" s="13"/>
      <c r="V17" s="24" t="str">
        <f t="shared" si="5"/>
        <v/>
      </c>
    </row>
    <row r="18" spans="1:22" x14ac:dyDescent="0.25">
      <c r="A18" s="23" t="s">
        <v>16</v>
      </c>
      <c r="B18" s="13" t="s">
        <v>138</v>
      </c>
      <c r="C18" s="13" t="s">
        <v>144</v>
      </c>
      <c r="D18" s="13">
        <v>2</v>
      </c>
      <c r="E18" s="13" t="s">
        <v>140</v>
      </c>
      <c r="F18" s="13" t="s">
        <v>64</v>
      </c>
      <c r="G18" s="13" t="s">
        <v>149</v>
      </c>
      <c r="H18" s="13">
        <f>AVERAGE(VLOOKUP(E18,ESCALA_PUNTAJE!$H$2:$I$5,2,FALSE),VLOOKUP(F18,ESCALA_PUNTAJE!$H$7:$I$9,2,FALSE),VLOOKUP(G18,ESCALA_PUNTAJE!$H$11:$I$13,2,FALSE))</f>
        <v>1.3333333333333333</v>
      </c>
      <c r="I18" s="13">
        <f t="shared" si="0"/>
        <v>0.46666666666666662</v>
      </c>
      <c r="J18" s="13" t="s">
        <v>74</v>
      </c>
      <c r="K18" s="13" t="s">
        <v>146</v>
      </c>
      <c r="L18" s="13">
        <f>AVERAGE(VLOOKUP(J18,ESCALA_PUNTAJE!$J$2:$K$4,2,FALSE),VLOOKUP(K18,ESCALA_PUNTAJE!$J$6:$K$8,2,FALSE))*0.2</f>
        <v>0.4</v>
      </c>
      <c r="M18" s="13" t="s">
        <v>147</v>
      </c>
      <c r="N18" s="13">
        <f>VLOOKUP(M18,ESCALA_PUNTAJE!$M$2:$N$4,2,FALSE)*0.15</f>
        <v>0.3</v>
      </c>
      <c r="O18" s="13" t="s">
        <v>148</v>
      </c>
      <c r="P18" s="13">
        <f>VLOOKUP(O18,ESCALA_PUNTAJE!$M$6:$N$11,2,FALSE)*0.3</f>
        <v>0.6</v>
      </c>
      <c r="Q18" s="13">
        <f t="shared" si="1"/>
        <v>1.7666666666666666</v>
      </c>
      <c r="R18" s="13" t="str">
        <f t="shared" si="2"/>
        <v>No aplica</v>
      </c>
      <c r="S18" s="13" t="str">
        <f t="shared" si="3"/>
        <v>MEDIO</v>
      </c>
      <c r="T18" s="13" t="str">
        <f t="shared" si="4"/>
        <v>Media</v>
      </c>
      <c r="U18" s="13"/>
      <c r="V18" s="24" t="str">
        <f t="shared" si="5"/>
        <v/>
      </c>
    </row>
    <row r="19" spans="1:22" x14ac:dyDescent="0.25">
      <c r="A19" s="23" t="s">
        <v>17</v>
      </c>
      <c r="B19" s="13" t="s">
        <v>138</v>
      </c>
      <c r="C19" s="13" t="s">
        <v>144</v>
      </c>
      <c r="D19" s="13">
        <v>6</v>
      </c>
      <c r="E19" s="13" t="s">
        <v>145</v>
      </c>
      <c r="F19" s="13" t="s">
        <v>64</v>
      </c>
      <c r="G19" s="13" t="s">
        <v>141</v>
      </c>
      <c r="H19" s="13">
        <f>AVERAGE(VLOOKUP(E19,ESCALA_PUNTAJE!$H$2:$I$5,2,FALSE),VLOOKUP(F19,ESCALA_PUNTAJE!$H$7:$I$9,2,FALSE),VLOOKUP(G19,ESCALA_PUNTAJE!$H$11:$I$13,2,FALSE))</f>
        <v>1.3333333333333333</v>
      </c>
      <c r="I19" s="13">
        <f t="shared" si="0"/>
        <v>0.46666666666666662</v>
      </c>
      <c r="J19" s="13" t="s">
        <v>74</v>
      </c>
      <c r="K19" s="13" t="s">
        <v>146</v>
      </c>
      <c r="L19" s="13">
        <f>AVERAGE(VLOOKUP(J19,ESCALA_PUNTAJE!$J$2:$K$4,2,FALSE),VLOOKUP(K19,ESCALA_PUNTAJE!$J$6:$K$8,2,FALSE))*0.2</f>
        <v>0.4</v>
      </c>
      <c r="M19" s="13" t="s">
        <v>147</v>
      </c>
      <c r="N19" s="13">
        <f>VLOOKUP(M19,ESCALA_PUNTAJE!$M$2:$N$4,2,FALSE)*0.15</f>
        <v>0.3</v>
      </c>
      <c r="O19" s="13" t="s">
        <v>148</v>
      </c>
      <c r="P19" s="13">
        <f>VLOOKUP(O19,ESCALA_PUNTAJE!$M$6:$N$11,2,FALSE)*0.3</f>
        <v>0.6</v>
      </c>
      <c r="Q19" s="13">
        <f t="shared" si="1"/>
        <v>1.7666666666666666</v>
      </c>
      <c r="R19" s="13" t="str">
        <f t="shared" si="2"/>
        <v>SÍ / ALTO AUTOMÁTICO</v>
      </c>
      <c r="S19" s="13" t="str">
        <f t="shared" si="3"/>
        <v>ALTO</v>
      </c>
      <c r="T19" s="13" t="str">
        <f t="shared" si="4"/>
        <v>Reforzada</v>
      </c>
      <c r="U19" s="13"/>
      <c r="V19" s="24" t="str">
        <f t="shared" si="5"/>
        <v>Escalonamiento automático: revisar DD Reforzada</v>
      </c>
    </row>
    <row r="20" spans="1:22" x14ac:dyDescent="0.25">
      <c r="A20" s="23" t="s">
        <v>18</v>
      </c>
      <c r="B20" s="13" t="s">
        <v>138</v>
      </c>
      <c r="C20" s="13" t="s">
        <v>144</v>
      </c>
      <c r="D20" s="13">
        <v>12</v>
      </c>
      <c r="E20" s="13" t="s">
        <v>145</v>
      </c>
      <c r="F20" s="13" t="s">
        <v>64</v>
      </c>
      <c r="G20" s="13" t="s">
        <v>149</v>
      </c>
      <c r="H20" s="13">
        <f>AVERAGE(VLOOKUP(E20,ESCALA_PUNTAJE!$H$2:$I$5,2,FALSE),VLOOKUP(F20,ESCALA_PUNTAJE!$H$7:$I$9,2,FALSE),VLOOKUP(G20,ESCALA_PUNTAJE!$H$11:$I$13,2,FALSE))</f>
        <v>1.6666666666666667</v>
      </c>
      <c r="I20" s="13">
        <f t="shared" si="0"/>
        <v>0.58333333333333337</v>
      </c>
      <c r="J20" s="13" t="s">
        <v>74</v>
      </c>
      <c r="K20" s="13" t="s">
        <v>146</v>
      </c>
      <c r="L20" s="13">
        <f>AVERAGE(VLOOKUP(J20,ESCALA_PUNTAJE!$J$2:$K$4,2,FALSE),VLOOKUP(K20,ESCALA_PUNTAJE!$J$6:$K$8,2,FALSE))*0.2</f>
        <v>0.4</v>
      </c>
      <c r="M20" s="13" t="s">
        <v>147</v>
      </c>
      <c r="N20" s="13">
        <f>VLOOKUP(M20,ESCALA_PUNTAJE!$M$2:$N$4,2,FALSE)*0.15</f>
        <v>0.3</v>
      </c>
      <c r="O20" s="13" t="s">
        <v>148</v>
      </c>
      <c r="P20" s="13">
        <f>VLOOKUP(O20,ESCALA_PUNTAJE!$M$6:$N$11,2,FALSE)*0.3</f>
        <v>0.6</v>
      </c>
      <c r="Q20" s="13">
        <f t="shared" si="1"/>
        <v>1.8833333333333333</v>
      </c>
      <c r="R20" s="13" t="str">
        <f t="shared" si="2"/>
        <v>SÍ / ALTO AUTOMÁTICO</v>
      </c>
      <c r="S20" s="13" t="str">
        <f t="shared" si="3"/>
        <v>ALTO</v>
      </c>
      <c r="T20" s="13" t="str">
        <f t="shared" si="4"/>
        <v>Reforzada</v>
      </c>
      <c r="U20" s="13"/>
      <c r="V20" s="24" t="str">
        <f t="shared" si="5"/>
        <v>Escalonamiento automático: revisar DD Reforzada</v>
      </c>
    </row>
    <row r="21" spans="1:22" x14ac:dyDescent="0.25">
      <c r="A21" s="23" t="s">
        <v>19</v>
      </c>
      <c r="B21" s="13" t="s">
        <v>138</v>
      </c>
      <c r="C21" s="13" t="s">
        <v>144</v>
      </c>
      <c r="D21" s="13">
        <v>6</v>
      </c>
      <c r="E21" s="13" t="s">
        <v>145</v>
      </c>
      <c r="F21" s="13" t="s">
        <v>64</v>
      </c>
      <c r="G21" s="13" t="s">
        <v>141</v>
      </c>
      <c r="H21" s="13">
        <f>AVERAGE(VLOOKUP(E21,ESCALA_PUNTAJE!$H$2:$I$5,2,FALSE),VLOOKUP(F21,ESCALA_PUNTAJE!$H$7:$I$9,2,FALSE),VLOOKUP(G21,ESCALA_PUNTAJE!$H$11:$I$13,2,FALSE))</f>
        <v>1.3333333333333333</v>
      </c>
      <c r="I21" s="13">
        <f t="shared" si="0"/>
        <v>0.46666666666666662</v>
      </c>
      <c r="J21" s="13" t="s">
        <v>74</v>
      </c>
      <c r="K21" s="13" t="s">
        <v>146</v>
      </c>
      <c r="L21" s="13">
        <f>AVERAGE(VLOOKUP(J21,ESCALA_PUNTAJE!$J$2:$K$4,2,FALSE),VLOOKUP(K21,ESCALA_PUNTAJE!$J$6:$K$8,2,FALSE))*0.2</f>
        <v>0.4</v>
      </c>
      <c r="M21" s="13" t="s">
        <v>147</v>
      </c>
      <c r="N21" s="13">
        <f>VLOOKUP(M21,ESCALA_PUNTAJE!$M$2:$N$4,2,FALSE)*0.15</f>
        <v>0.3</v>
      </c>
      <c r="O21" s="13" t="s">
        <v>148</v>
      </c>
      <c r="P21" s="13">
        <f>VLOOKUP(O21,ESCALA_PUNTAJE!$M$6:$N$11,2,FALSE)*0.3</f>
        <v>0.6</v>
      </c>
      <c r="Q21" s="13">
        <f t="shared" si="1"/>
        <v>1.7666666666666666</v>
      </c>
      <c r="R21" s="13" t="str">
        <f t="shared" si="2"/>
        <v>SÍ / ALTO AUTOMÁTICO</v>
      </c>
      <c r="S21" s="13" t="str">
        <f t="shared" si="3"/>
        <v>ALTO</v>
      </c>
      <c r="T21" s="13" t="str">
        <f t="shared" si="4"/>
        <v>Reforzada</v>
      </c>
      <c r="U21" s="13"/>
      <c r="V21" s="24" t="str">
        <f t="shared" si="5"/>
        <v>Escalonamiento automático: revisar DD Reforzada</v>
      </c>
    </row>
    <row r="22" spans="1:22" x14ac:dyDescent="0.25">
      <c r="A22" s="23" t="s">
        <v>20</v>
      </c>
      <c r="B22" s="13" t="s">
        <v>138</v>
      </c>
      <c r="C22" s="13" t="s">
        <v>144</v>
      </c>
      <c r="D22" s="13">
        <v>5</v>
      </c>
      <c r="E22" s="13" t="s">
        <v>140</v>
      </c>
      <c r="F22" s="13" t="s">
        <v>64</v>
      </c>
      <c r="G22" s="13" t="s">
        <v>149</v>
      </c>
      <c r="H22" s="13">
        <f>AVERAGE(VLOOKUP(E22,ESCALA_PUNTAJE!$H$2:$I$5,2,FALSE),VLOOKUP(F22,ESCALA_PUNTAJE!$H$7:$I$9,2,FALSE),VLOOKUP(G22,ESCALA_PUNTAJE!$H$11:$I$13,2,FALSE))</f>
        <v>1.3333333333333333</v>
      </c>
      <c r="I22" s="13">
        <f t="shared" si="0"/>
        <v>0.46666666666666662</v>
      </c>
      <c r="J22" s="13" t="s">
        <v>74</v>
      </c>
      <c r="K22" s="13" t="s">
        <v>146</v>
      </c>
      <c r="L22" s="13">
        <f>AVERAGE(VLOOKUP(J22,ESCALA_PUNTAJE!$J$2:$K$4,2,FALSE),VLOOKUP(K22,ESCALA_PUNTAJE!$J$6:$K$8,2,FALSE))*0.2</f>
        <v>0.4</v>
      </c>
      <c r="M22" s="13" t="s">
        <v>147</v>
      </c>
      <c r="N22" s="13">
        <f>VLOOKUP(M22,ESCALA_PUNTAJE!$M$2:$N$4,2,FALSE)*0.15</f>
        <v>0.3</v>
      </c>
      <c r="O22" s="13" t="s">
        <v>148</v>
      </c>
      <c r="P22" s="13">
        <f>VLOOKUP(O22,ESCALA_PUNTAJE!$M$6:$N$11,2,FALSE)*0.3</f>
        <v>0.6</v>
      </c>
      <c r="Q22" s="13">
        <f t="shared" si="1"/>
        <v>1.7666666666666666</v>
      </c>
      <c r="R22" s="13" t="str">
        <f t="shared" si="2"/>
        <v>No aplica</v>
      </c>
      <c r="S22" s="13" t="str">
        <f t="shared" si="3"/>
        <v>MEDIO</v>
      </c>
      <c r="T22" s="13" t="str">
        <f t="shared" si="4"/>
        <v>Media</v>
      </c>
      <c r="U22" s="13"/>
      <c r="V22" s="24" t="str">
        <f t="shared" si="5"/>
        <v/>
      </c>
    </row>
    <row r="23" spans="1:22" x14ac:dyDescent="0.25">
      <c r="A23" s="23" t="s">
        <v>21</v>
      </c>
      <c r="B23" s="13" t="s">
        <v>138</v>
      </c>
      <c r="C23" s="13" t="s">
        <v>144</v>
      </c>
      <c r="D23" s="13">
        <v>3</v>
      </c>
      <c r="E23" s="13" t="s">
        <v>140</v>
      </c>
      <c r="F23" s="13" t="s">
        <v>64</v>
      </c>
      <c r="G23" s="13" t="s">
        <v>141</v>
      </c>
      <c r="H23" s="13">
        <f>AVERAGE(VLOOKUP(E23,ESCALA_PUNTAJE!$H$2:$I$5,2,FALSE),VLOOKUP(F23,ESCALA_PUNTAJE!$H$7:$I$9,2,FALSE),VLOOKUP(G23,ESCALA_PUNTAJE!$H$11:$I$13,2,FALSE))</f>
        <v>1</v>
      </c>
      <c r="I23" s="13">
        <f t="shared" si="0"/>
        <v>0.35</v>
      </c>
      <c r="J23" s="13" t="s">
        <v>74</v>
      </c>
      <c r="K23" s="13" t="s">
        <v>146</v>
      </c>
      <c r="L23" s="13">
        <f>AVERAGE(VLOOKUP(J23,ESCALA_PUNTAJE!$J$2:$K$4,2,FALSE),VLOOKUP(K23,ESCALA_PUNTAJE!$J$6:$K$8,2,FALSE))*0.2</f>
        <v>0.4</v>
      </c>
      <c r="M23" s="13" t="s">
        <v>147</v>
      </c>
      <c r="N23" s="13">
        <f>VLOOKUP(M23,ESCALA_PUNTAJE!$M$2:$N$4,2,FALSE)*0.15</f>
        <v>0.3</v>
      </c>
      <c r="O23" s="13" t="s">
        <v>148</v>
      </c>
      <c r="P23" s="13">
        <f>VLOOKUP(O23,ESCALA_PUNTAJE!$M$6:$N$11,2,FALSE)*0.3</f>
        <v>0.6</v>
      </c>
      <c r="Q23" s="13">
        <f t="shared" si="1"/>
        <v>1.65</v>
      </c>
      <c r="R23" s="13" t="str">
        <f t="shared" si="2"/>
        <v>No aplica</v>
      </c>
      <c r="S23" s="13" t="str">
        <f t="shared" si="3"/>
        <v>MEDIO</v>
      </c>
      <c r="T23" s="13" t="str">
        <f t="shared" si="4"/>
        <v>Media</v>
      </c>
      <c r="U23" s="13"/>
      <c r="V23" s="24" t="str">
        <f t="shared" si="5"/>
        <v/>
      </c>
    </row>
    <row r="24" spans="1:22" x14ac:dyDescent="0.25">
      <c r="A24" s="23" t="s">
        <v>22</v>
      </c>
      <c r="B24" s="13" t="s">
        <v>138</v>
      </c>
      <c r="C24" s="13" t="s">
        <v>150</v>
      </c>
      <c r="D24" s="13">
        <v>1</v>
      </c>
      <c r="E24" s="13" t="s">
        <v>140</v>
      </c>
      <c r="F24" s="13" t="s">
        <v>151</v>
      </c>
      <c r="G24" s="13" t="s">
        <v>141</v>
      </c>
      <c r="H24" s="13">
        <f>AVERAGE(VLOOKUP(E24,ESCALA_PUNTAJE!$H$2:$I$5,2,FALSE),VLOOKUP(F24,ESCALA_PUNTAJE!$H$7:$I$9,2,FALSE),VLOOKUP(G24,ESCALA_PUNTAJE!$H$11:$I$13,2,FALSE))</f>
        <v>1.3333333333333333</v>
      </c>
      <c r="I24" s="13">
        <f t="shared" si="0"/>
        <v>0.46666666666666662</v>
      </c>
      <c r="J24" s="13" t="s">
        <v>75</v>
      </c>
      <c r="K24" s="13" t="s">
        <v>152</v>
      </c>
      <c r="L24" s="13">
        <f>AVERAGE(VLOOKUP(J24,ESCALA_PUNTAJE!$J$2:$K$4,2,FALSE),VLOOKUP(K24,ESCALA_PUNTAJE!$J$6:$K$8,2,FALSE))*0.2</f>
        <v>0.60000000000000009</v>
      </c>
      <c r="M24" s="13" t="s">
        <v>153</v>
      </c>
      <c r="N24" s="13">
        <f>VLOOKUP(M24,ESCALA_PUNTAJE!$M$2:$N$4,2,FALSE)*0.15</f>
        <v>0.44999999999999996</v>
      </c>
      <c r="O24" s="13" t="s">
        <v>148</v>
      </c>
      <c r="P24" s="13">
        <f>VLOOKUP(O24,ESCALA_PUNTAJE!$M$6:$N$11,2,FALSE)*0.3</f>
        <v>0.6</v>
      </c>
      <c r="Q24" s="13">
        <f t="shared" si="1"/>
        <v>2.1166666666666667</v>
      </c>
      <c r="R24" s="13" t="str">
        <f t="shared" si="2"/>
        <v>No aplica</v>
      </c>
      <c r="S24" s="13" t="str">
        <f t="shared" si="3"/>
        <v>MEDIO</v>
      </c>
      <c r="T24" s="13" t="str">
        <f t="shared" si="4"/>
        <v>Media</v>
      </c>
      <c r="U24" s="13"/>
      <c r="V24" s="24" t="str">
        <f t="shared" si="5"/>
        <v/>
      </c>
    </row>
    <row r="25" spans="1:22" x14ac:dyDescent="0.25">
      <c r="A25" s="23" t="s">
        <v>23</v>
      </c>
      <c r="B25" s="13" t="s">
        <v>138</v>
      </c>
      <c r="C25" s="13" t="s">
        <v>150</v>
      </c>
      <c r="D25" s="13">
        <v>1</v>
      </c>
      <c r="E25" s="13" t="s">
        <v>140</v>
      </c>
      <c r="F25" s="13" t="s">
        <v>151</v>
      </c>
      <c r="G25" s="13" t="s">
        <v>141</v>
      </c>
      <c r="H25" s="13">
        <f>AVERAGE(VLOOKUP(E25,ESCALA_PUNTAJE!$H$2:$I$5,2,FALSE),VLOOKUP(F25,ESCALA_PUNTAJE!$H$7:$I$9,2,FALSE),VLOOKUP(G25,ESCALA_PUNTAJE!$H$11:$I$13,2,FALSE))</f>
        <v>1.3333333333333333</v>
      </c>
      <c r="I25" s="13">
        <f t="shared" si="0"/>
        <v>0.46666666666666662</v>
      </c>
      <c r="J25" s="13" t="s">
        <v>75</v>
      </c>
      <c r="K25" s="13" t="s">
        <v>152</v>
      </c>
      <c r="L25" s="13">
        <f>AVERAGE(VLOOKUP(J25,ESCALA_PUNTAJE!$J$2:$K$4,2,FALSE),VLOOKUP(K25,ESCALA_PUNTAJE!$J$6:$K$8,2,FALSE))*0.2</f>
        <v>0.60000000000000009</v>
      </c>
      <c r="M25" s="13" t="s">
        <v>153</v>
      </c>
      <c r="N25" s="13">
        <f>VLOOKUP(M25,ESCALA_PUNTAJE!$M$2:$N$4,2,FALSE)*0.15</f>
        <v>0.44999999999999996</v>
      </c>
      <c r="O25" s="13" t="s">
        <v>148</v>
      </c>
      <c r="P25" s="13">
        <f>VLOOKUP(O25,ESCALA_PUNTAJE!$M$6:$N$11,2,FALSE)*0.3</f>
        <v>0.6</v>
      </c>
      <c r="Q25" s="13">
        <f t="shared" si="1"/>
        <v>2.1166666666666667</v>
      </c>
      <c r="R25" s="13" t="str">
        <f t="shared" si="2"/>
        <v>No aplica</v>
      </c>
      <c r="S25" s="13" t="str">
        <f t="shared" si="3"/>
        <v>MEDIO</v>
      </c>
      <c r="T25" s="13" t="str">
        <f t="shared" si="4"/>
        <v>Media</v>
      </c>
      <c r="U25" s="13"/>
      <c r="V25" s="24" t="str">
        <f t="shared" si="5"/>
        <v/>
      </c>
    </row>
    <row r="26" spans="1:22" x14ac:dyDescent="0.25">
      <c r="A26" s="23" t="s">
        <v>24</v>
      </c>
      <c r="B26" s="13" t="s">
        <v>138</v>
      </c>
      <c r="C26" s="13" t="s">
        <v>150</v>
      </c>
      <c r="D26" s="13">
        <v>8</v>
      </c>
      <c r="E26" s="13" t="s">
        <v>140</v>
      </c>
      <c r="F26" s="13" t="s">
        <v>151</v>
      </c>
      <c r="G26" s="13" t="s">
        <v>141</v>
      </c>
      <c r="H26" s="13">
        <f>AVERAGE(VLOOKUP(E26,ESCALA_PUNTAJE!$H$2:$I$5,2,FALSE),VLOOKUP(F26,ESCALA_PUNTAJE!$H$7:$I$9,2,FALSE),VLOOKUP(G26,ESCALA_PUNTAJE!$H$11:$I$13,2,FALSE))</f>
        <v>1.3333333333333333</v>
      </c>
      <c r="I26" s="13">
        <f t="shared" si="0"/>
        <v>0.46666666666666662</v>
      </c>
      <c r="J26" s="13" t="s">
        <v>75</v>
      </c>
      <c r="K26" s="13" t="s">
        <v>146</v>
      </c>
      <c r="L26" s="13">
        <f>AVERAGE(VLOOKUP(J26,ESCALA_PUNTAJE!$J$2:$K$4,2,FALSE),VLOOKUP(K26,ESCALA_PUNTAJE!$J$6:$K$8,2,FALSE))*0.2</f>
        <v>0.5</v>
      </c>
      <c r="M26" s="13" t="s">
        <v>153</v>
      </c>
      <c r="N26" s="13">
        <f>VLOOKUP(M26,ESCALA_PUNTAJE!$M$2:$N$4,2,FALSE)*0.15</f>
        <v>0.44999999999999996</v>
      </c>
      <c r="O26" s="13" t="s">
        <v>148</v>
      </c>
      <c r="P26" s="13">
        <f>VLOOKUP(O26,ESCALA_PUNTAJE!$M$6:$N$11,2,FALSE)*0.3</f>
        <v>0.6</v>
      </c>
      <c r="Q26" s="13">
        <f t="shared" si="1"/>
        <v>2.0166666666666666</v>
      </c>
      <c r="R26" s="13" t="str">
        <f t="shared" si="2"/>
        <v>No aplica</v>
      </c>
      <c r="S26" s="13" t="str">
        <f t="shared" si="3"/>
        <v>MEDIO</v>
      </c>
      <c r="T26" s="13" t="str">
        <f t="shared" si="4"/>
        <v>Media</v>
      </c>
      <c r="U26" s="13"/>
      <c r="V26" s="24" t="str">
        <f t="shared" si="5"/>
        <v/>
      </c>
    </row>
    <row r="27" spans="1:22" x14ac:dyDescent="0.25">
      <c r="A27" s="23" t="s">
        <v>25</v>
      </c>
      <c r="B27" s="13" t="s">
        <v>138</v>
      </c>
      <c r="C27" s="13" t="s">
        <v>150</v>
      </c>
      <c r="D27" s="13">
        <v>6</v>
      </c>
      <c r="E27" s="13" t="s">
        <v>140</v>
      </c>
      <c r="F27" s="13" t="s">
        <v>151</v>
      </c>
      <c r="G27" s="13" t="s">
        <v>141</v>
      </c>
      <c r="H27" s="13">
        <f>AVERAGE(VLOOKUP(E27,ESCALA_PUNTAJE!$H$2:$I$5,2,FALSE),VLOOKUP(F27,ESCALA_PUNTAJE!$H$7:$I$9,2,FALSE),VLOOKUP(G27,ESCALA_PUNTAJE!$H$11:$I$13,2,FALSE))</f>
        <v>1.3333333333333333</v>
      </c>
      <c r="I27" s="13">
        <f t="shared" si="0"/>
        <v>0.46666666666666662</v>
      </c>
      <c r="J27" s="13" t="s">
        <v>74</v>
      </c>
      <c r="K27" s="13" t="s">
        <v>152</v>
      </c>
      <c r="L27" s="13">
        <f>AVERAGE(VLOOKUP(J27,ESCALA_PUNTAJE!$J$2:$K$4,2,FALSE),VLOOKUP(K27,ESCALA_PUNTAJE!$J$6:$K$8,2,FALSE))*0.2</f>
        <v>0.5</v>
      </c>
      <c r="M27" s="13" t="s">
        <v>153</v>
      </c>
      <c r="N27" s="13">
        <f>VLOOKUP(M27,ESCALA_PUNTAJE!$M$2:$N$4,2,FALSE)*0.15</f>
        <v>0.44999999999999996</v>
      </c>
      <c r="O27" s="13" t="s">
        <v>148</v>
      </c>
      <c r="P27" s="13">
        <f>VLOOKUP(O27,ESCALA_PUNTAJE!$M$6:$N$11,2,FALSE)*0.3</f>
        <v>0.6</v>
      </c>
      <c r="Q27" s="13">
        <f t="shared" si="1"/>
        <v>2.0166666666666666</v>
      </c>
      <c r="R27" s="13" t="str">
        <f t="shared" si="2"/>
        <v>No aplica</v>
      </c>
      <c r="S27" s="13" t="str">
        <f t="shared" si="3"/>
        <v>MEDIO</v>
      </c>
      <c r="T27" s="13" t="str">
        <f t="shared" si="4"/>
        <v>Media</v>
      </c>
      <c r="U27" s="13"/>
      <c r="V27" s="24" t="str">
        <f t="shared" si="5"/>
        <v/>
      </c>
    </row>
    <row r="28" spans="1:22" x14ac:dyDescent="0.25">
      <c r="A28" s="23" t="s">
        <v>26</v>
      </c>
      <c r="B28" s="13" t="s">
        <v>138</v>
      </c>
      <c r="C28" s="13" t="s">
        <v>150</v>
      </c>
      <c r="D28" s="13">
        <v>6</v>
      </c>
      <c r="E28" s="13" t="s">
        <v>140</v>
      </c>
      <c r="F28" s="13" t="s">
        <v>151</v>
      </c>
      <c r="G28" s="13" t="s">
        <v>149</v>
      </c>
      <c r="H28" s="13">
        <f>AVERAGE(VLOOKUP(E28,ESCALA_PUNTAJE!$H$2:$I$5,2,FALSE),VLOOKUP(F28,ESCALA_PUNTAJE!$H$7:$I$9,2,FALSE),VLOOKUP(G28,ESCALA_PUNTAJE!$H$11:$I$13,2,FALSE))</f>
        <v>1.6666666666666667</v>
      </c>
      <c r="I28" s="13">
        <f t="shared" si="0"/>
        <v>0.58333333333333337</v>
      </c>
      <c r="J28" s="13" t="s">
        <v>75</v>
      </c>
      <c r="K28" s="13" t="s">
        <v>146</v>
      </c>
      <c r="L28" s="13">
        <f>AVERAGE(VLOOKUP(J28,ESCALA_PUNTAJE!$J$2:$K$4,2,FALSE),VLOOKUP(K28,ESCALA_PUNTAJE!$J$6:$K$8,2,FALSE))*0.2</f>
        <v>0.5</v>
      </c>
      <c r="M28" s="13" t="s">
        <v>153</v>
      </c>
      <c r="N28" s="13">
        <f>VLOOKUP(M28,ESCALA_PUNTAJE!$M$2:$N$4,2,FALSE)*0.15</f>
        <v>0.44999999999999996</v>
      </c>
      <c r="O28" s="13" t="s">
        <v>91</v>
      </c>
      <c r="P28" s="13">
        <f>VLOOKUP(O28,ESCALA_PUNTAJE!$M$6:$N$11,2,FALSE)*0.3</f>
        <v>0.3</v>
      </c>
      <c r="Q28" s="13">
        <f t="shared" si="1"/>
        <v>1.8333333333333335</v>
      </c>
      <c r="R28" s="13" t="str">
        <f t="shared" si="2"/>
        <v>No aplica</v>
      </c>
      <c r="S28" s="13" t="str">
        <f t="shared" si="3"/>
        <v>MEDIO</v>
      </c>
      <c r="T28" s="13" t="str">
        <f t="shared" si="4"/>
        <v>Media</v>
      </c>
      <c r="U28" s="13"/>
      <c r="V28" s="24" t="str">
        <f t="shared" si="5"/>
        <v/>
      </c>
    </row>
    <row r="29" spans="1:22" x14ac:dyDescent="0.25">
      <c r="A29" s="23" t="s">
        <v>27</v>
      </c>
      <c r="B29" s="13" t="s">
        <v>138</v>
      </c>
      <c r="C29" s="13" t="s">
        <v>150</v>
      </c>
      <c r="D29" s="13">
        <v>6</v>
      </c>
      <c r="E29" s="13" t="s">
        <v>140</v>
      </c>
      <c r="F29" s="13" t="s">
        <v>151</v>
      </c>
      <c r="G29" s="13" t="s">
        <v>149</v>
      </c>
      <c r="H29" s="13">
        <f>AVERAGE(VLOOKUP(E29,ESCALA_PUNTAJE!$H$2:$I$5,2,FALSE),VLOOKUP(F29,ESCALA_PUNTAJE!$H$7:$I$9,2,FALSE),VLOOKUP(G29,ESCALA_PUNTAJE!$H$11:$I$13,2,FALSE))</f>
        <v>1.6666666666666667</v>
      </c>
      <c r="I29" s="13">
        <f t="shared" si="0"/>
        <v>0.58333333333333337</v>
      </c>
      <c r="J29" s="13" t="s">
        <v>74</v>
      </c>
      <c r="K29" s="13" t="s">
        <v>146</v>
      </c>
      <c r="L29" s="13">
        <f>AVERAGE(VLOOKUP(J29,ESCALA_PUNTAJE!$J$2:$K$4,2,FALSE),VLOOKUP(K29,ESCALA_PUNTAJE!$J$6:$K$8,2,FALSE))*0.2</f>
        <v>0.4</v>
      </c>
      <c r="M29" s="13" t="s">
        <v>153</v>
      </c>
      <c r="N29" s="13">
        <f>VLOOKUP(M29,ESCALA_PUNTAJE!$M$2:$N$4,2,FALSE)*0.15</f>
        <v>0.44999999999999996</v>
      </c>
      <c r="O29" s="13" t="s">
        <v>91</v>
      </c>
      <c r="P29" s="13">
        <f>VLOOKUP(O29,ESCALA_PUNTAJE!$M$6:$N$11,2,FALSE)*0.3</f>
        <v>0.3</v>
      </c>
      <c r="Q29" s="13">
        <f t="shared" si="1"/>
        <v>1.7333333333333334</v>
      </c>
      <c r="R29" s="13" t="str">
        <f t="shared" si="2"/>
        <v>No aplica</v>
      </c>
      <c r="S29" s="13" t="str">
        <f t="shared" si="3"/>
        <v>MEDIO</v>
      </c>
      <c r="T29" s="13" t="str">
        <f t="shared" si="4"/>
        <v>Media</v>
      </c>
      <c r="U29" s="13"/>
      <c r="V29" s="24" t="str">
        <f t="shared" si="5"/>
        <v/>
      </c>
    </row>
    <row r="30" spans="1:22" x14ac:dyDescent="0.25">
      <c r="A30" s="23" t="s">
        <v>28</v>
      </c>
      <c r="B30" s="13" t="s">
        <v>138</v>
      </c>
      <c r="C30" s="13" t="s">
        <v>150</v>
      </c>
      <c r="D30" s="13">
        <v>0</v>
      </c>
      <c r="E30" s="13" t="s">
        <v>140</v>
      </c>
      <c r="F30" s="13" t="s">
        <v>151</v>
      </c>
      <c r="G30" s="13" t="s">
        <v>149</v>
      </c>
      <c r="H30" s="13">
        <f>AVERAGE(VLOOKUP(E30,ESCALA_PUNTAJE!$H$2:$I$5,2,FALSE),VLOOKUP(F30,ESCALA_PUNTAJE!$H$7:$I$9,2,FALSE),VLOOKUP(G30,ESCALA_PUNTAJE!$H$11:$I$13,2,FALSE))</f>
        <v>1.6666666666666667</v>
      </c>
      <c r="I30" s="13">
        <f t="shared" si="0"/>
        <v>0.58333333333333337</v>
      </c>
      <c r="J30" s="13" t="s">
        <v>74</v>
      </c>
      <c r="K30" s="13" t="s">
        <v>146</v>
      </c>
      <c r="L30" s="13">
        <f>AVERAGE(VLOOKUP(J30,ESCALA_PUNTAJE!$J$2:$K$4,2,FALSE),VLOOKUP(K30,ESCALA_PUNTAJE!$J$6:$K$8,2,FALSE))*0.2</f>
        <v>0.4</v>
      </c>
      <c r="M30" s="13" t="s">
        <v>153</v>
      </c>
      <c r="N30" s="13">
        <f>VLOOKUP(M30,ESCALA_PUNTAJE!$M$2:$N$4,2,FALSE)*0.15</f>
        <v>0.44999999999999996</v>
      </c>
      <c r="O30" s="13" t="s">
        <v>91</v>
      </c>
      <c r="P30" s="13">
        <f>VLOOKUP(O30,ESCALA_PUNTAJE!$M$6:$N$11,2,FALSE)*0.3</f>
        <v>0.3</v>
      </c>
      <c r="Q30" s="13">
        <f t="shared" si="1"/>
        <v>1.7333333333333334</v>
      </c>
      <c r="R30" s="13" t="str">
        <f t="shared" si="2"/>
        <v>No aplica</v>
      </c>
      <c r="S30" s="13" t="str">
        <f t="shared" si="3"/>
        <v>MEDIO</v>
      </c>
      <c r="T30" s="13" t="str">
        <f t="shared" si="4"/>
        <v>Media</v>
      </c>
      <c r="U30" s="13"/>
      <c r="V30" s="24" t="str">
        <f t="shared" si="5"/>
        <v/>
      </c>
    </row>
    <row r="31" spans="1:22" x14ac:dyDescent="0.25">
      <c r="A31" s="23" t="s">
        <v>29</v>
      </c>
      <c r="B31" s="13" t="s">
        <v>138</v>
      </c>
      <c r="C31" s="13" t="s">
        <v>150</v>
      </c>
      <c r="D31" s="13">
        <v>7</v>
      </c>
      <c r="E31" s="13" t="s">
        <v>140</v>
      </c>
      <c r="F31" s="13" t="s">
        <v>64</v>
      </c>
      <c r="G31" s="13" t="s">
        <v>141</v>
      </c>
      <c r="H31" s="13">
        <f>AVERAGE(VLOOKUP(E31,ESCALA_PUNTAJE!$H$2:$I$5,2,FALSE),VLOOKUP(F31,ESCALA_PUNTAJE!$H$7:$I$9,2,FALSE),VLOOKUP(G31,ESCALA_PUNTAJE!$H$11:$I$13,2,FALSE))</f>
        <v>1</v>
      </c>
      <c r="I31" s="13">
        <f t="shared" si="0"/>
        <v>0.35</v>
      </c>
      <c r="J31" s="13" t="s">
        <v>75</v>
      </c>
      <c r="K31" s="13" t="s">
        <v>146</v>
      </c>
      <c r="L31" s="13">
        <f>AVERAGE(VLOOKUP(J31,ESCALA_PUNTAJE!$J$2:$K$4,2,FALSE),VLOOKUP(K31,ESCALA_PUNTAJE!$J$6:$K$8,2,FALSE))*0.2</f>
        <v>0.5</v>
      </c>
      <c r="M31" s="13" t="s">
        <v>153</v>
      </c>
      <c r="N31" s="13">
        <f>VLOOKUP(M31,ESCALA_PUNTAJE!$M$2:$N$4,2,FALSE)*0.15</f>
        <v>0.44999999999999996</v>
      </c>
      <c r="O31" s="13" t="s">
        <v>148</v>
      </c>
      <c r="P31" s="13">
        <f>VLOOKUP(O31,ESCALA_PUNTAJE!$M$6:$N$11,2,FALSE)*0.3</f>
        <v>0.6</v>
      </c>
      <c r="Q31" s="13">
        <f t="shared" si="1"/>
        <v>1.9</v>
      </c>
      <c r="R31" s="13" t="str">
        <f t="shared" si="2"/>
        <v>No aplica</v>
      </c>
      <c r="S31" s="13" t="str">
        <f t="shared" si="3"/>
        <v>MEDIO</v>
      </c>
      <c r="T31" s="13" t="str">
        <f t="shared" si="4"/>
        <v>Media</v>
      </c>
      <c r="U31" s="13"/>
      <c r="V31" s="24" t="str">
        <f t="shared" si="5"/>
        <v/>
      </c>
    </row>
    <row r="32" spans="1:22" x14ac:dyDescent="0.25">
      <c r="A32" s="23" t="s">
        <v>30</v>
      </c>
      <c r="B32" s="13" t="s">
        <v>154</v>
      </c>
      <c r="C32" s="13" t="s">
        <v>155</v>
      </c>
      <c r="D32" s="13">
        <v>9</v>
      </c>
      <c r="E32" s="13" t="s">
        <v>140</v>
      </c>
      <c r="F32" s="13" t="s">
        <v>64</v>
      </c>
      <c r="G32" s="13" t="s">
        <v>149</v>
      </c>
      <c r="H32" s="13">
        <f>AVERAGE(VLOOKUP(E32,ESCALA_PUNTAJE!$H$2:$I$5,2,FALSE),VLOOKUP(F32,ESCALA_PUNTAJE!$H$7:$I$9,2,FALSE),VLOOKUP(G32,ESCALA_PUNTAJE!$H$11:$I$13,2,FALSE))</f>
        <v>1.3333333333333333</v>
      </c>
      <c r="I32" s="13">
        <f t="shared" si="0"/>
        <v>0.46666666666666662</v>
      </c>
      <c r="J32" s="13" t="s">
        <v>74</v>
      </c>
      <c r="K32" s="13" t="s">
        <v>146</v>
      </c>
      <c r="L32" s="13">
        <f>AVERAGE(VLOOKUP(J32,ESCALA_PUNTAJE!$J$2:$K$4,2,FALSE),VLOOKUP(K32,ESCALA_PUNTAJE!$J$6:$K$8,2,FALSE))*0.2</f>
        <v>0.4</v>
      </c>
      <c r="M32" s="13" t="s">
        <v>143</v>
      </c>
      <c r="N32" s="13">
        <f>VLOOKUP(M32,ESCALA_PUNTAJE!$M$2:$N$4,2,FALSE)*0.15</f>
        <v>0.15</v>
      </c>
      <c r="O32" s="13" t="s">
        <v>90</v>
      </c>
      <c r="P32" s="13">
        <f>VLOOKUP(O32,ESCALA_PUNTAJE!$M$6:$N$11,2,FALSE)*0.3</f>
        <v>0.3</v>
      </c>
      <c r="Q32" s="13">
        <f t="shared" si="1"/>
        <v>1.3166666666666667</v>
      </c>
      <c r="R32" s="13" t="str">
        <f t="shared" si="2"/>
        <v>No aplica</v>
      </c>
      <c r="S32" s="13" t="str">
        <f t="shared" si="3"/>
        <v>BAJO</v>
      </c>
      <c r="T32" s="13" t="str">
        <f t="shared" si="4"/>
        <v>Simplificada</v>
      </c>
      <c r="U32" s="13"/>
      <c r="V32" s="24" t="str">
        <f t="shared" si="5"/>
        <v/>
      </c>
    </row>
    <row r="33" spans="1:22" x14ac:dyDescent="0.25">
      <c r="A33" s="23" t="s">
        <v>31</v>
      </c>
      <c r="B33" s="13" t="s">
        <v>154</v>
      </c>
      <c r="C33" s="13" t="s">
        <v>155</v>
      </c>
      <c r="D33" s="13">
        <v>5</v>
      </c>
      <c r="E33" s="13" t="s">
        <v>140</v>
      </c>
      <c r="F33" s="13" t="s">
        <v>64</v>
      </c>
      <c r="G33" s="13" t="s">
        <v>149</v>
      </c>
      <c r="H33" s="13">
        <f>AVERAGE(VLOOKUP(E33,ESCALA_PUNTAJE!$H$2:$I$5,2,FALSE),VLOOKUP(F33,ESCALA_PUNTAJE!$H$7:$I$9,2,FALSE),VLOOKUP(G33,ESCALA_PUNTAJE!$H$11:$I$13,2,FALSE))</f>
        <v>1.3333333333333333</v>
      </c>
      <c r="I33" s="13">
        <f t="shared" si="0"/>
        <v>0.46666666666666662</v>
      </c>
      <c r="J33" s="13" t="s">
        <v>74</v>
      </c>
      <c r="K33" s="13" t="s">
        <v>146</v>
      </c>
      <c r="L33" s="13">
        <f>AVERAGE(VLOOKUP(J33,ESCALA_PUNTAJE!$J$2:$K$4,2,FALSE),VLOOKUP(K33,ESCALA_PUNTAJE!$J$6:$K$8,2,FALSE))*0.2</f>
        <v>0.4</v>
      </c>
      <c r="M33" s="13" t="s">
        <v>143</v>
      </c>
      <c r="N33" s="13">
        <f>VLOOKUP(M33,ESCALA_PUNTAJE!$M$2:$N$4,2,FALSE)*0.15</f>
        <v>0.15</v>
      </c>
      <c r="O33" s="13" t="s">
        <v>90</v>
      </c>
      <c r="P33" s="13">
        <f>VLOOKUP(O33,ESCALA_PUNTAJE!$M$6:$N$11,2,FALSE)*0.3</f>
        <v>0.3</v>
      </c>
      <c r="Q33" s="13">
        <f t="shared" si="1"/>
        <v>1.3166666666666667</v>
      </c>
      <c r="R33" s="13" t="str">
        <f t="shared" si="2"/>
        <v>No aplica</v>
      </c>
      <c r="S33" s="13" t="str">
        <f t="shared" si="3"/>
        <v>BAJO</v>
      </c>
      <c r="T33" s="13" t="str">
        <f t="shared" si="4"/>
        <v>Simplificada</v>
      </c>
      <c r="U33" s="13"/>
      <c r="V33" s="24" t="str">
        <f t="shared" si="5"/>
        <v/>
      </c>
    </row>
    <row r="34" spans="1:22" x14ac:dyDescent="0.25">
      <c r="A34" s="23" t="s">
        <v>32</v>
      </c>
      <c r="B34" s="13" t="s">
        <v>154</v>
      </c>
      <c r="C34" s="13" t="s">
        <v>155</v>
      </c>
      <c r="D34" s="13">
        <v>12</v>
      </c>
      <c r="E34" s="13" t="s">
        <v>140</v>
      </c>
      <c r="F34" s="13" t="s">
        <v>64</v>
      </c>
      <c r="G34" s="13" t="s">
        <v>149</v>
      </c>
      <c r="H34" s="13">
        <f>AVERAGE(VLOOKUP(E34,ESCALA_PUNTAJE!$H$2:$I$5,2,FALSE),VLOOKUP(F34,ESCALA_PUNTAJE!$H$7:$I$9,2,FALSE),VLOOKUP(G34,ESCALA_PUNTAJE!$H$11:$I$13,2,FALSE))</f>
        <v>1.3333333333333333</v>
      </c>
      <c r="I34" s="13">
        <f t="shared" si="0"/>
        <v>0.46666666666666662</v>
      </c>
      <c r="J34" s="13" t="s">
        <v>74</v>
      </c>
      <c r="K34" s="13" t="s">
        <v>146</v>
      </c>
      <c r="L34" s="13">
        <f>AVERAGE(VLOOKUP(J34,ESCALA_PUNTAJE!$J$2:$K$4,2,FALSE),VLOOKUP(K34,ESCALA_PUNTAJE!$J$6:$K$8,2,FALSE))*0.2</f>
        <v>0.4</v>
      </c>
      <c r="M34" s="13" t="s">
        <v>143</v>
      </c>
      <c r="N34" s="13">
        <f>VLOOKUP(M34,ESCALA_PUNTAJE!$M$2:$N$4,2,FALSE)*0.15</f>
        <v>0.15</v>
      </c>
      <c r="O34" s="13" t="s">
        <v>91</v>
      </c>
      <c r="P34" s="13">
        <f>VLOOKUP(O34,ESCALA_PUNTAJE!$M$6:$N$11,2,FALSE)*0.3</f>
        <v>0.3</v>
      </c>
      <c r="Q34" s="13">
        <f t="shared" si="1"/>
        <v>1.3166666666666667</v>
      </c>
      <c r="R34" s="13" t="str">
        <f t="shared" si="2"/>
        <v>No aplica</v>
      </c>
      <c r="S34" s="13" t="str">
        <f t="shared" si="3"/>
        <v>BAJO</v>
      </c>
      <c r="T34" s="13" t="str">
        <f t="shared" si="4"/>
        <v>Simplificada</v>
      </c>
      <c r="U34" s="13"/>
      <c r="V34" s="24" t="str">
        <f t="shared" si="5"/>
        <v/>
      </c>
    </row>
    <row r="35" spans="1:22" x14ac:dyDescent="0.25">
      <c r="A35" s="23" t="s">
        <v>33</v>
      </c>
      <c r="B35" s="13" t="s">
        <v>154</v>
      </c>
      <c r="C35" s="13" t="s">
        <v>155</v>
      </c>
      <c r="D35" s="13">
        <v>2</v>
      </c>
      <c r="E35" s="13" t="s">
        <v>140</v>
      </c>
      <c r="F35" s="13" t="s">
        <v>64</v>
      </c>
      <c r="G35" s="13" t="s">
        <v>141</v>
      </c>
      <c r="H35" s="13">
        <f>AVERAGE(VLOOKUP(E35,ESCALA_PUNTAJE!$H$2:$I$5,2,FALSE),VLOOKUP(F35,ESCALA_PUNTAJE!$H$7:$I$9,2,FALSE),VLOOKUP(G35,ESCALA_PUNTAJE!$H$11:$I$13,2,FALSE))</f>
        <v>1</v>
      </c>
      <c r="I35" s="13">
        <f t="shared" si="0"/>
        <v>0.35</v>
      </c>
      <c r="J35" s="13" t="s">
        <v>74</v>
      </c>
      <c r="K35" s="13" t="s">
        <v>146</v>
      </c>
      <c r="L35" s="13">
        <f>AVERAGE(VLOOKUP(J35,ESCALA_PUNTAJE!$J$2:$K$4,2,FALSE),VLOOKUP(K35,ESCALA_PUNTAJE!$J$6:$K$8,2,FALSE))*0.2</f>
        <v>0.4</v>
      </c>
      <c r="M35" s="13" t="s">
        <v>143</v>
      </c>
      <c r="N35" s="13">
        <f>VLOOKUP(M35,ESCALA_PUNTAJE!$M$2:$N$4,2,FALSE)*0.15</f>
        <v>0.15</v>
      </c>
      <c r="O35" s="13" t="s">
        <v>90</v>
      </c>
      <c r="P35" s="13">
        <f>VLOOKUP(O35,ESCALA_PUNTAJE!$M$6:$N$11,2,FALSE)*0.3</f>
        <v>0.3</v>
      </c>
      <c r="Q35" s="13">
        <f t="shared" si="1"/>
        <v>1.2</v>
      </c>
      <c r="R35" s="13" t="str">
        <f t="shared" si="2"/>
        <v>No aplica</v>
      </c>
      <c r="S35" s="13" t="str">
        <f t="shared" si="3"/>
        <v>BAJO</v>
      </c>
      <c r="T35" s="13" t="str">
        <f>IF(S35="BAJO","Simplificada",IF(S35="MEDIO","Media","Reforzada"))</f>
        <v>Simplificada</v>
      </c>
      <c r="U35" s="13"/>
      <c r="V35" s="24" t="str">
        <f t="shared" si="5"/>
        <v/>
      </c>
    </row>
    <row r="36" spans="1:22" x14ac:dyDescent="0.25">
      <c r="A36" s="23" t="s">
        <v>34</v>
      </c>
      <c r="B36" s="13" t="s">
        <v>154</v>
      </c>
      <c r="C36" s="13" t="s">
        <v>155</v>
      </c>
      <c r="D36" s="13">
        <v>10</v>
      </c>
      <c r="E36" s="13" t="s">
        <v>140</v>
      </c>
      <c r="F36" s="13" t="s">
        <v>151</v>
      </c>
      <c r="G36" s="13" t="s">
        <v>149</v>
      </c>
      <c r="H36" s="13">
        <f>AVERAGE(VLOOKUP(E36,ESCALA_PUNTAJE!$H$2:$I$5,2,FALSE),VLOOKUP(F36,ESCALA_PUNTAJE!$H$7:$I$9,2,FALSE),VLOOKUP(G36,ESCALA_PUNTAJE!$H$11:$I$13,2,FALSE))</f>
        <v>1.6666666666666667</v>
      </c>
      <c r="I36" s="13">
        <f t="shared" si="0"/>
        <v>0.58333333333333337</v>
      </c>
      <c r="J36" s="13" t="s">
        <v>74</v>
      </c>
      <c r="K36" s="13" t="s">
        <v>146</v>
      </c>
      <c r="L36" s="13">
        <f>AVERAGE(VLOOKUP(J36,ESCALA_PUNTAJE!$J$2:$K$4,2,FALSE),VLOOKUP(K36,ESCALA_PUNTAJE!$J$6:$K$8,2,FALSE))*0.2</f>
        <v>0.4</v>
      </c>
      <c r="M36" s="13" t="s">
        <v>143</v>
      </c>
      <c r="N36" s="13">
        <f>VLOOKUP(M36,ESCALA_PUNTAJE!$M$2:$N$4,2,FALSE)*0.15</f>
        <v>0.15</v>
      </c>
      <c r="O36" s="13" t="s">
        <v>91</v>
      </c>
      <c r="P36" s="13">
        <f>VLOOKUP(O36,ESCALA_PUNTAJE!$M$6:$N$11,2,FALSE)*0.3</f>
        <v>0.3</v>
      </c>
      <c r="Q36" s="13">
        <f t="shared" si="1"/>
        <v>1.4333333333333333</v>
      </c>
      <c r="R36" s="13" t="str">
        <f t="shared" si="2"/>
        <v>No aplica</v>
      </c>
      <c r="S36" s="13" t="str">
        <f t="shared" si="3"/>
        <v>BAJO</v>
      </c>
      <c r="T36" s="13" t="str">
        <f t="shared" si="4"/>
        <v>Simplificada</v>
      </c>
      <c r="U36" s="13"/>
      <c r="V36" s="24" t="str">
        <f t="shared" si="5"/>
        <v/>
      </c>
    </row>
    <row r="37" spans="1:22" x14ac:dyDescent="0.25">
      <c r="A37" s="23" t="s">
        <v>35</v>
      </c>
      <c r="B37" s="13" t="s">
        <v>154</v>
      </c>
      <c r="C37" s="13" t="s">
        <v>155</v>
      </c>
      <c r="D37" s="13">
        <v>9</v>
      </c>
      <c r="E37" s="13" t="s">
        <v>140</v>
      </c>
      <c r="F37" s="13" t="s">
        <v>64</v>
      </c>
      <c r="G37" s="13" t="s">
        <v>149</v>
      </c>
      <c r="H37" s="13">
        <f>AVERAGE(VLOOKUP(E37,ESCALA_PUNTAJE!$H$2:$I$5,2,FALSE),VLOOKUP(F37,ESCALA_PUNTAJE!$H$7:$I$9,2,FALSE),VLOOKUP(G37,ESCALA_PUNTAJE!$H$11:$I$13,2,FALSE))</f>
        <v>1.3333333333333333</v>
      </c>
      <c r="I37" s="13">
        <f t="shared" si="0"/>
        <v>0.46666666666666662</v>
      </c>
      <c r="J37" s="13" t="s">
        <v>74</v>
      </c>
      <c r="K37" s="13" t="s">
        <v>146</v>
      </c>
      <c r="L37" s="13">
        <f>AVERAGE(VLOOKUP(J37,ESCALA_PUNTAJE!$J$2:$K$4,2,FALSE),VLOOKUP(K37,ESCALA_PUNTAJE!$J$6:$K$8,2,FALSE))*0.2</f>
        <v>0.4</v>
      </c>
      <c r="M37" s="13" t="s">
        <v>143</v>
      </c>
      <c r="N37" s="13">
        <f>VLOOKUP(M37,ESCALA_PUNTAJE!$M$2:$N$4,2,FALSE)*0.15</f>
        <v>0.15</v>
      </c>
      <c r="O37" s="13" t="s">
        <v>90</v>
      </c>
      <c r="P37" s="13">
        <f>VLOOKUP(O37,ESCALA_PUNTAJE!$M$6:$N$11,2,FALSE)*0.3</f>
        <v>0.3</v>
      </c>
      <c r="Q37" s="13">
        <f t="shared" si="1"/>
        <v>1.3166666666666667</v>
      </c>
      <c r="R37" s="13" t="str">
        <f t="shared" si="2"/>
        <v>No aplica</v>
      </c>
      <c r="S37" s="13" t="str">
        <f t="shared" si="3"/>
        <v>BAJO</v>
      </c>
      <c r="T37" s="13" t="str">
        <f t="shared" si="4"/>
        <v>Simplificada</v>
      </c>
      <c r="U37" s="13"/>
      <c r="V37" s="24" t="str">
        <f t="shared" si="5"/>
        <v/>
      </c>
    </row>
    <row r="38" spans="1:22" x14ac:dyDescent="0.25">
      <c r="A38" s="23" t="s">
        <v>36</v>
      </c>
      <c r="B38" s="13" t="s">
        <v>154</v>
      </c>
      <c r="C38" s="13" t="s">
        <v>155</v>
      </c>
      <c r="D38" s="13">
        <v>2</v>
      </c>
      <c r="E38" s="13" t="s">
        <v>140</v>
      </c>
      <c r="F38" s="13" t="s">
        <v>64</v>
      </c>
      <c r="G38" s="13" t="s">
        <v>149</v>
      </c>
      <c r="H38" s="13">
        <f>AVERAGE(VLOOKUP(E38,ESCALA_PUNTAJE!$H$2:$I$5,2,FALSE),VLOOKUP(F38,ESCALA_PUNTAJE!$H$7:$I$9,2,FALSE),VLOOKUP(G38,ESCALA_PUNTAJE!$H$11:$I$13,2,FALSE))</f>
        <v>1.3333333333333333</v>
      </c>
      <c r="I38" s="13">
        <f t="shared" si="0"/>
        <v>0.46666666666666662</v>
      </c>
      <c r="J38" s="13" t="s">
        <v>74</v>
      </c>
      <c r="K38" s="13" t="s">
        <v>146</v>
      </c>
      <c r="L38" s="13">
        <f>AVERAGE(VLOOKUP(J38,ESCALA_PUNTAJE!$J$2:$K$4,2,FALSE),VLOOKUP(K38,ESCALA_PUNTAJE!$J$6:$K$8,2,FALSE))*0.2</f>
        <v>0.4</v>
      </c>
      <c r="M38" s="13" t="s">
        <v>143</v>
      </c>
      <c r="N38" s="13">
        <f>VLOOKUP(M38,ESCALA_PUNTAJE!$M$2:$N$4,2,FALSE)*0.15</f>
        <v>0.15</v>
      </c>
      <c r="O38" s="13" t="s">
        <v>90</v>
      </c>
      <c r="P38" s="13">
        <f>VLOOKUP(O38,ESCALA_PUNTAJE!$M$6:$N$11,2,FALSE)*0.3</f>
        <v>0.3</v>
      </c>
      <c r="Q38" s="13">
        <f t="shared" si="1"/>
        <v>1.3166666666666667</v>
      </c>
      <c r="R38" s="13" t="str">
        <f t="shared" si="2"/>
        <v>No aplica</v>
      </c>
      <c r="S38" s="13" t="str">
        <f t="shared" si="3"/>
        <v>BAJO</v>
      </c>
      <c r="T38" s="13" t="str">
        <f t="shared" si="4"/>
        <v>Simplificada</v>
      </c>
      <c r="U38" s="13"/>
      <c r="V38" s="24" t="str">
        <f t="shared" si="5"/>
        <v/>
      </c>
    </row>
    <row r="39" spans="1:22" x14ac:dyDescent="0.25">
      <c r="A39" s="23" t="s">
        <v>37</v>
      </c>
      <c r="B39" s="13" t="s">
        <v>156</v>
      </c>
      <c r="C39" s="13" t="s">
        <v>157</v>
      </c>
      <c r="D39" s="13">
        <v>6</v>
      </c>
      <c r="E39" s="13" t="s">
        <v>140</v>
      </c>
      <c r="F39" s="13" t="s">
        <v>64</v>
      </c>
      <c r="G39" s="13" t="s">
        <v>141</v>
      </c>
      <c r="H39" s="13">
        <f>AVERAGE(VLOOKUP(E39,ESCALA_PUNTAJE!$H$2:$I$5,2,FALSE),VLOOKUP(F39,ESCALA_PUNTAJE!$H$7:$I$9,2,FALSE),VLOOKUP(G39,ESCALA_PUNTAJE!$H$11:$I$13,2,FALSE))</f>
        <v>1</v>
      </c>
      <c r="I39" s="13">
        <f t="shared" si="0"/>
        <v>0.35</v>
      </c>
      <c r="J39" s="13" t="s">
        <v>75</v>
      </c>
      <c r="K39" s="13" t="s">
        <v>152</v>
      </c>
      <c r="L39" s="13">
        <f>AVERAGE(VLOOKUP(J39,ESCALA_PUNTAJE!$J$2:$K$4,2,FALSE),VLOOKUP(K39,ESCALA_PUNTAJE!$J$6:$K$8,2,FALSE))*0.2</f>
        <v>0.60000000000000009</v>
      </c>
      <c r="M39" s="13" t="s">
        <v>147</v>
      </c>
      <c r="N39" s="13">
        <f>VLOOKUP(M39,ESCALA_PUNTAJE!$M$2:$N$4,2,FALSE)*0.15</f>
        <v>0.3</v>
      </c>
      <c r="O39" s="13" t="s">
        <v>158</v>
      </c>
      <c r="P39" s="13">
        <f>VLOOKUP(O39,ESCALA_PUNTAJE!$M$6:$N$11,2,FALSE)*0.3</f>
        <v>0.89999999999999991</v>
      </c>
      <c r="Q39" s="13">
        <f t="shared" si="1"/>
        <v>2.15</v>
      </c>
      <c r="R39" s="13" t="str">
        <f t="shared" si="2"/>
        <v>No aplica</v>
      </c>
      <c r="S39" s="13" t="str">
        <f t="shared" si="3"/>
        <v>MEDIO</v>
      </c>
      <c r="T39" s="13" t="str">
        <f t="shared" si="4"/>
        <v>Media</v>
      </c>
      <c r="U39" s="13"/>
      <c r="V39" s="24" t="str">
        <f t="shared" si="5"/>
        <v/>
      </c>
    </row>
    <row r="40" spans="1:22" x14ac:dyDescent="0.25">
      <c r="A40" s="23" t="s">
        <v>38</v>
      </c>
      <c r="B40" s="13" t="s">
        <v>156</v>
      </c>
      <c r="C40" s="13" t="s">
        <v>157</v>
      </c>
      <c r="D40" s="13">
        <v>14</v>
      </c>
      <c r="E40" s="13" t="s">
        <v>140</v>
      </c>
      <c r="F40" s="13" t="s">
        <v>64</v>
      </c>
      <c r="G40" s="13" t="s">
        <v>159</v>
      </c>
      <c r="H40" s="13">
        <f>AVERAGE(VLOOKUP(E40,ESCALA_PUNTAJE!$H$2:$I$5,2,FALSE),VLOOKUP(F40,ESCALA_PUNTAJE!$H$7:$I$9,2,FALSE),VLOOKUP(G40,ESCALA_PUNTAJE!$H$11:$I$13,2,FALSE))</f>
        <v>1.6666666666666667</v>
      </c>
      <c r="I40" s="13">
        <f t="shared" si="0"/>
        <v>0.58333333333333337</v>
      </c>
      <c r="J40" s="13" t="s">
        <v>75</v>
      </c>
      <c r="K40" s="13" t="s">
        <v>152</v>
      </c>
      <c r="L40" s="13">
        <f>AVERAGE(VLOOKUP(J40,ESCALA_PUNTAJE!$J$2:$K$4,2,FALSE),VLOOKUP(K40,ESCALA_PUNTAJE!$J$6:$K$8,2,FALSE))*0.2</f>
        <v>0.60000000000000009</v>
      </c>
      <c r="M40" s="13" t="s">
        <v>153</v>
      </c>
      <c r="N40" s="13">
        <f>VLOOKUP(M40,ESCALA_PUNTAJE!$M$2:$N$4,2,FALSE)*0.15</f>
        <v>0.44999999999999996</v>
      </c>
      <c r="O40" s="13" t="s">
        <v>148</v>
      </c>
      <c r="P40" s="13">
        <f>VLOOKUP(O40,ESCALA_PUNTAJE!$M$6:$N$11,2,FALSE)*0.3</f>
        <v>0.6</v>
      </c>
      <c r="Q40" s="13">
        <f t="shared" si="1"/>
        <v>2.2333333333333334</v>
      </c>
      <c r="R40" s="13" t="str">
        <f t="shared" si="2"/>
        <v>SÍ / ALTO AUTOMÁTICO</v>
      </c>
      <c r="S40" s="13" t="str">
        <f t="shared" si="3"/>
        <v>ALTO</v>
      </c>
      <c r="T40" s="13" t="str">
        <f>IF(S40="BAJO","Simplificada",IF(S40="MEDIO","Media","Reforzada"))</f>
        <v>Reforzada</v>
      </c>
      <c r="U40" s="13"/>
      <c r="V40" s="24" t="str">
        <f t="shared" si="5"/>
        <v>Escalonamiento automático: revisar DD Reforzada</v>
      </c>
    </row>
    <row r="41" spans="1:22" x14ac:dyDescent="0.25">
      <c r="A41" s="23" t="s">
        <v>39</v>
      </c>
      <c r="B41" s="13" t="s">
        <v>156</v>
      </c>
      <c r="C41" s="13" t="s">
        <v>157</v>
      </c>
      <c r="D41" s="13">
        <v>11</v>
      </c>
      <c r="E41" s="13" t="s">
        <v>140</v>
      </c>
      <c r="F41" s="13" t="s">
        <v>64</v>
      </c>
      <c r="G41" s="13" t="s">
        <v>141</v>
      </c>
      <c r="H41" s="13">
        <f>AVERAGE(VLOOKUP(E41,ESCALA_PUNTAJE!$H$2:$I$5,2,FALSE),VLOOKUP(F41,ESCALA_PUNTAJE!$H$7:$I$9,2,FALSE),VLOOKUP(G41,ESCALA_PUNTAJE!$H$11:$I$13,2,FALSE))</f>
        <v>1</v>
      </c>
      <c r="I41" s="13">
        <f t="shared" si="0"/>
        <v>0.35</v>
      </c>
      <c r="J41" s="13" t="s">
        <v>75</v>
      </c>
      <c r="K41" s="13" t="s">
        <v>152</v>
      </c>
      <c r="L41" s="13">
        <f>AVERAGE(VLOOKUP(J41,ESCALA_PUNTAJE!$J$2:$K$4,2,FALSE),VLOOKUP(K41,ESCALA_PUNTAJE!$J$6:$K$8,2,FALSE))*0.2</f>
        <v>0.60000000000000009</v>
      </c>
      <c r="M41" s="13" t="s">
        <v>153</v>
      </c>
      <c r="N41" s="13">
        <f>VLOOKUP(M41,ESCALA_PUNTAJE!$M$2:$N$4,2,FALSE)*0.15</f>
        <v>0.44999999999999996</v>
      </c>
      <c r="O41" s="13" t="s">
        <v>148</v>
      </c>
      <c r="P41" s="13">
        <f>VLOOKUP(O41,ESCALA_PUNTAJE!$M$6:$N$11,2,FALSE)*0.3</f>
        <v>0.6</v>
      </c>
      <c r="Q41" s="13">
        <f t="shared" si="1"/>
        <v>2</v>
      </c>
      <c r="R41" s="13" t="str">
        <f t="shared" si="2"/>
        <v>No aplica</v>
      </c>
      <c r="S41" s="13" t="str">
        <f t="shared" si="3"/>
        <v>MEDIO</v>
      </c>
      <c r="T41" s="13" t="str">
        <f>IF(S41="BAJO","Simplificada",IF(S41="MEDIO","Media","Reforzada"))</f>
        <v>Media</v>
      </c>
      <c r="U41" s="13"/>
      <c r="V41" s="24" t="str">
        <f t="shared" si="5"/>
        <v/>
      </c>
    </row>
    <row r="42" spans="1:22" x14ac:dyDescent="0.25">
      <c r="A42" s="23" t="s">
        <v>40</v>
      </c>
      <c r="B42" s="13" t="s">
        <v>156</v>
      </c>
      <c r="C42" s="13" t="s">
        <v>157</v>
      </c>
      <c r="D42" s="13">
        <v>12</v>
      </c>
      <c r="E42" s="13" t="s">
        <v>140</v>
      </c>
      <c r="F42" s="13" t="s">
        <v>151</v>
      </c>
      <c r="G42" s="13" t="s">
        <v>141</v>
      </c>
      <c r="H42" s="13">
        <f>AVERAGE(VLOOKUP(E42,ESCALA_PUNTAJE!$H$2:$I$5,2,FALSE),VLOOKUP(F42,ESCALA_PUNTAJE!$H$7:$I$9,2,FALSE),VLOOKUP(G42,ESCALA_PUNTAJE!$H$11:$I$13,2,FALSE))</f>
        <v>1.3333333333333333</v>
      </c>
      <c r="I42" s="13">
        <f t="shared" si="0"/>
        <v>0.46666666666666662</v>
      </c>
      <c r="J42" s="13" t="s">
        <v>75</v>
      </c>
      <c r="K42" s="13" t="s">
        <v>152</v>
      </c>
      <c r="L42" s="13">
        <f>AVERAGE(VLOOKUP(J42,ESCALA_PUNTAJE!$J$2:$K$4,2,FALSE),VLOOKUP(K42,ESCALA_PUNTAJE!$J$6:$K$8,2,FALSE))*0.2</f>
        <v>0.60000000000000009</v>
      </c>
      <c r="M42" s="13" t="s">
        <v>153</v>
      </c>
      <c r="N42" s="13">
        <f>VLOOKUP(M42,ESCALA_PUNTAJE!$M$2:$N$4,2,FALSE)*0.15</f>
        <v>0.44999999999999996</v>
      </c>
      <c r="O42" s="13" t="s">
        <v>148</v>
      </c>
      <c r="P42" s="13">
        <f>VLOOKUP(O42,ESCALA_PUNTAJE!$M$6:$N$11,2,FALSE)*0.3</f>
        <v>0.6</v>
      </c>
      <c r="Q42" s="13">
        <f t="shared" si="1"/>
        <v>2.1166666666666667</v>
      </c>
      <c r="R42" s="13" t="str">
        <f t="shared" si="2"/>
        <v>No aplica</v>
      </c>
      <c r="S42" s="13" t="str">
        <f t="shared" si="3"/>
        <v>MEDIO</v>
      </c>
      <c r="T42" s="13" t="str">
        <f t="shared" si="4"/>
        <v>Media</v>
      </c>
      <c r="U42" s="13"/>
      <c r="V42" s="24" t="str">
        <f t="shared" si="5"/>
        <v/>
      </c>
    </row>
    <row r="43" spans="1:22" x14ac:dyDescent="0.25">
      <c r="A43" s="23" t="s">
        <v>41</v>
      </c>
      <c r="B43" s="13" t="s">
        <v>156</v>
      </c>
      <c r="C43" s="13" t="s">
        <v>157</v>
      </c>
      <c r="D43" s="13">
        <v>11</v>
      </c>
      <c r="E43" s="13" t="s">
        <v>140</v>
      </c>
      <c r="F43" s="13" t="s">
        <v>151</v>
      </c>
      <c r="G43" s="13" t="s">
        <v>141</v>
      </c>
      <c r="H43" s="13">
        <f>AVERAGE(VLOOKUP(E43,ESCALA_PUNTAJE!$H$2:$I$5,2,FALSE),VLOOKUP(F43,ESCALA_PUNTAJE!$H$7:$I$9,2,FALSE),VLOOKUP(G43,ESCALA_PUNTAJE!$H$11:$I$13,2,FALSE))</f>
        <v>1.3333333333333333</v>
      </c>
      <c r="I43" s="13">
        <f t="shared" si="0"/>
        <v>0.46666666666666662</v>
      </c>
      <c r="J43" s="13" t="s">
        <v>75</v>
      </c>
      <c r="K43" s="13" t="s">
        <v>152</v>
      </c>
      <c r="L43" s="13">
        <f>AVERAGE(VLOOKUP(J43,ESCALA_PUNTAJE!$J$2:$K$4,2,FALSE),VLOOKUP(K43,ESCALA_PUNTAJE!$J$6:$K$8,2,FALSE))*0.2</f>
        <v>0.60000000000000009</v>
      </c>
      <c r="M43" s="13" t="s">
        <v>153</v>
      </c>
      <c r="N43" s="13">
        <f>VLOOKUP(M43,ESCALA_PUNTAJE!$M$2:$N$4,2,FALSE)*0.15</f>
        <v>0.44999999999999996</v>
      </c>
      <c r="O43" s="13" t="s">
        <v>148</v>
      </c>
      <c r="P43" s="13">
        <f>VLOOKUP(O43,ESCALA_PUNTAJE!$M$6:$N$11,2,FALSE)*0.3</f>
        <v>0.6</v>
      </c>
      <c r="Q43" s="13">
        <f t="shared" si="1"/>
        <v>2.1166666666666667</v>
      </c>
      <c r="R43" s="13" t="str">
        <f t="shared" si="2"/>
        <v>No aplica</v>
      </c>
      <c r="S43" s="13" t="str">
        <f t="shared" si="3"/>
        <v>MEDIO</v>
      </c>
      <c r="T43" s="13" t="str">
        <f t="shared" si="4"/>
        <v>Media</v>
      </c>
      <c r="U43" s="13"/>
      <c r="V43" s="24" t="str">
        <f t="shared" si="5"/>
        <v/>
      </c>
    </row>
    <row r="44" spans="1:22" x14ac:dyDescent="0.25">
      <c r="A44" s="23" t="s">
        <v>42</v>
      </c>
      <c r="B44" s="13" t="s">
        <v>138</v>
      </c>
      <c r="C44" s="13" t="s">
        <v>160</v>
      </c>
      <c r="D44" s="13">
        <v>5</v>
      </c>
      <c r="E44" s="13" t="s">
        <v>145</v>
      </c>
      <c r="F44" s="13" t="s">
        <v>64</v>
      </c>
      <c r="G44" s="13" t="s">
        <v>141</v>
      </c>
      <c r="H44" s="13">
        <f>AVERAGE(VLOOKUP(E44,ESCALA_PUNTAJE!$H$2:$I$5,2,FALSE),VLOOKUP(F44,ESCALA_PUNTAJE!$H$7:$I$9,2,FALSE),VLOOKUP(G44,ESCALA_PUNTAJE!$H$11:$I$13,2,FALSE))</f>
        <v>1.3333333333333333</v>
      </c>
      <c r="I44" s="13">
        <f t="shared" si="0"/>
        <v>0.46666666666666662</v>
      </c>
      <c r="J44" s="13" t="s">
        <v>73</v>
      </c>
      <c r="K44" s="13" t="s">
        <v>142</v>
      </c>
      <c r="L44" s="13">
        <f>AVERAGE(VLOOKUP(J44,ESCALA_PUNTAJE!$J$2:$K$4,2,FALSE),VLOOKUP(K44,ESCALA_PUNTAJE!$J$6:$K$8,2,FALSE))*0.2</f>
        <v>0.2</v>
      </c>
      <c r="M44" s="13" t="s">
        <v>143</v>
      </c>
      <c r="N44" s="13">
        <f>VLOOKUP(M44,ESCALA_PUNTAJE!$M$2:$N$4,2,FALSE)*0.15</f>
        <v>0.15</v>
      </c>
      <c r="O44" s="13" t="s">
        <v>90</v>
      </c>
      <c r="P44" s="13">
        <f>VLOOKUP(O44,ESCALA_PUNTAJE!$M$6:$N$11,2,FALSE)*0.3</f>
        <v>0.3</v>
      </c>
      <c r="Q44" s="13">
        <f t="shared" si="1"/>
        <v>1.1166666666666667</v>
      </c>
      <c r="R44" s="13" t="str">
        <f t="shared" si="2"/>
        <v>SÍ / ALTO AUTOMÁTICO</v>
      </c>
      <c r="S44" s="13" t="str">
        <f t="shared" si="3"/>
        <v>ALTO</v>
      </c>
      <c r="T44" s="13" t="str">
        <f t="shared" si="4"/>
        <v>Reforzada</v>
      </c>
      <c r="U44" s="13"/>
      <c r="V44" s="24" t="str">
        <f t="shared" si="5"/>
        <v>Escalonamiento automático: revisar DD Reforzada</v>
      </c>
    </row>
    <row r="45" spans="1:22" x14ac:dyDescent="0.25">
      <c r="A45" s="23" t="s">
        <v>43</v>
      </c>
      <c r="B45" s="13" t="s">
        <v>138</v>
      </c>
      <c r="C45" s="13" t="s">
        <v>160</v>
      </c>
      <c r="D45" s="13">
        <v>10</v>
      </c>
      <c r="E45" s="13" t="s">
        <v>145</v>
      </c>
      <c r="F45" s="13" t="s">
        <v>64</v>
      </c>
      <c r="G45" s="13" t="s">
        <v>141</v>
      </c>
      <c r="H45" s="13">
        <f>AVERAGE(VLOOKUP(E45,ESCALA_PUNTAJE!$H$2:$I$5,2,FALSE),VLOOKUP(F45,ESCALA_PUNTAJE!$H$7:$I$9,2,FALSE),VLOOKUP(G45,ESCALA_PUNTAJE!$H$11:$I$13,2,FALSE))</f>
        <v>1.3333333333333333</v>
      </c>
      <c r="I45" s="13">
        <f t="shared" si="0"/>
        <v>0.46666666666666662</v>
      </c>
      <c r="J45" s="13" t="s">
        <v>73</v>
      </c>
      <c r="K45" s="13" t="s">
        <v>142</v>
      </c>
      <c r="L45" s="13">
        <f>AVERAGE(VLOOKUP(J45,ESCALA_PUNTAJE!$J$2:$K$4,2,FALSE),VLOOKUP(K45,ESCALA_PUNTAJE!$J$6:$K$8,2,FALSE))*0.2</f>
        <v>0.2</v>
      </c>
      <c r="M45" s="13" t="s">
        <v>143</v>
      </c>
      <c r="N45" s="13">
        <f>VLOOKUP(M45,ESCALA_PUNTAJE!$M$2:$N$4,2,FALSE)*0.15</f>
        <v>0.15</v>
      </c>
      <c r="O45" s="13" t="s">
        <v>90</v>
      </c>
      <c r="P45" s="13">
        <f>VLOOKUP(O45,ESCALA_PUNTAJE!$M$6:$N$11,2,FALSE)*0.3</f>
        <v>0.3</v>
      </c>
      <c r="Q45" s="13">
        <f t="shared" si="1"/>
        <v>1.1166666666666667</v>
      </c>
      <c r="R45" s="13" t="str">
        <f t="shared" si="2"/>
        <v>SÍ / ALTO AUTOMÁTICO</v>
      </c>
      <c r="S45" s="13" t="str">
        <f t="shared" si="3"/>
        <v>ALTO</v>
      </c>
      <c r="T45" s="13" t="str">
        <f t="shared" si="4"/>
        <v>Reforzada</v>
      </c>
      <c r="U45" s="13"/>
      <c r="V45" s="24" t="str">
        <f t="shared" si="5"/>
        <v>Escalonamiento automático: revisar DD Reforzada</v>
      </c>
    </row>
    <row r="46" spans="1:22" x14ac:dyDescent="0.25">
      <c r="A46" s="23" t="s">
        <v>44</v>
      </c>
      <c r="B46" s="13" t="s">
        <v>138</v>
      </c>
      <c r="C46" s="13" t="s">
        <v>160</v>
      </c>
      <c r="D46" s="13">
        <v>6</v>
      </c>
      <c r="E46" s="13" t="s">
        <v>145</v>
      </c>
      <c r="F46" s="13" t="s">
        <v>64</v>
      </c>
      <c r="G46" s="13" t="s">
        <v>141</v>
      </c>
      <c r="H46" s="13">
        <f>AVERAGE(VLOOKUP(E46,ESCALA_PUNTAJE!$H$2:$I$5,2,FALSE),VLOOKUP(F46,ESCALA_PUNTAJE!$H$7:$I$9,2,FALSE),VLOOKUP(G46,ESCALA_PUNTAJE!$H$11:$I$13,2,FALSE))</f>
        <v>1.3333333333333333</v>
      </c>
      <c r="I46" s="13">
        <f t="shared" si="0"/>
        <v>0.46666666666666662</v>
      </c>
      <c r="J46" s="13" t="s">
        <v>73</v>
      </c>
      <c r="K46" s="13" t="s">
        <v>142</v>
      </c>
      <c r="L46" s="13">
        <f>AVERAGE(VLOOKUP(J46,ESCALA_PUNTAJE!$J$2:$K$4,2,FALSE),VLOOKUP(K46,ESCALA_PUNTAJE!$J$6:$K$8,2,FALSE))*0.2</f>
        <v>0.2</v>
      </c>
      <c r="M46" s="13" t="s">
        <v>143</v>
      </c>
      <c r="N46" s="13">
        <f>VLOOKUP(M46,ESCALA_PUNTAJE!$M$2:$N$4,2,FALSE)*0.15</f>
        <v>0.15</v>
      </c>
      <c r="O46" s="13" t="s">
        <v>90</v>
      </c>
      <c r="P46" s="13">
        <f>VLOOKUP(O46,ESCALA_PUNTAJE!$M$6:$N$11,2,FALSE)*0.3</f>
        <v>0.3</v>
      </c>
      <c r="Q46" s="13">
        <f t="shared" si="1"/>
        <v>1.1166666666666667</v>
      </c>
      <c r="R46" s="13" t="str">
        <f t="shared" si="2"/>
        <v>SÍ / ALTO AUTOMÁTICO</v>
      </c>
      <c r="S46" s="13" t="str">
        <f t="shared" si="3"/>
        <v>ALTO</v>
      </c>
      <c r="T46" s="13" t="str">
        <f t="shared" si="4"/>
        <v>Reforzada</v>
      </c>
      <c r="U46" s="13"/>
      <c r="V46" s="24" t="str">
        <f t="shared" si="5"/>
        <v>Escalonamiento automático: revisar DD Reforzada</v>
      </c>
    </row>
    <row r="47" spans="1:22" x14ac:dyDescent="0.25">
      <c r="A47" s="23" t="s">
        <v>45</v>
      </c>
      <c r="B47" s="13" t="s">
        <v>138</v>
      </c>
      <c r="C47" s="13" t="s">
        <v>161</v>
      </c>
      <c r="D47" s="13">
        <v>13</v>
      </c>
      <c r="E47" s="13" t="s">
        <v>162</v>
      </c>
      <c r="F47" s="13" t="s">
        <v>64</v>
      </c>
      <c r="G47" s="13" t="s">
        <v>141</v>
      </c>
      <c r="H47" s="13">
        <f>AVERAGE(VLOOKUP(E47,ESCALA_PUNTAJE!$H$2:$I$5,2,FALSE),VLOOKUP(F47,ESCALA_PUNTAJE!$H$7:$I$9,2,FALSE),VLOOKUP(G47,ESCALA_PUNTAJE!$H$11:$I$13,2,FALSE))</f>
        <v>1.6666666666666667</v>
      </c>
      <c r="I47" s="13">
        <f t="shared" si="0"/>
        <v>0.58333333333333337</v>
      </c>
      <c r="J47" s="13" t="s">
        <v>74</v>
      </c>
      <c r="K47" s="13" t="s">
        <v>146</v>
      </c>
      <c r="L47" s="13">
        <f>AVERAGE(VLOOKUP(J47,ESCALA_PUNTAJE!$J$2:$K$4,2,FALSE),VLOOKUP(K47,ESCALA_PUNTAJE!$J$6:$K$8,2,FALSE))*0.2</f>
        <v>0.4</v>
      </c>
      <c r="M47" s="13" t="s">
        <v>147</v>
      </c>
      <c r="N47" s="13">
        <f>VLOOKUP(M47,ESCALA_PUNTAJE!$M$2:$N$4,2,FALSE)*0.15</f>
        <v>0.3</v>
      </c>
      <c r="O47" s="13" t="s">
        <v>91</v>
      </c>
      <c r="P47" s="13">
        <f>VLOOKUP(O47,ESCALA_PUNTAJE!$M$6:$N$11,2,FALSE)*0.3</f>
        <v>0.3</v>
      </c>
      <c r="Q47" s="13">
        <f t="shared" si="1"/>
        <v>1.5833333333333335</v>
      </c>
      <c r="R47" s="13" t="str">
        <f t="shared" si="2"/>
        <v>SÍ / ALTO AUTOMÁTICO</v>
      </c>
      <c r="S47" s="13" t="str">
        <f t="shared" si="3"/>
        <v>ALTO</v>
      </c>
      <c r="T47" s="13" t="str">
        <f t="shared" si="4"/>
        <v>Reforzada</v>
      </c>
      <c r="U47" s="13"/>
      <c r="V47" s="24" t="str">
        <f t="shared" si="5"/>
        <v>Escalonamiento automático: revisar DD Reforzada</v>
      </c>
    </row>
    <row r="48" spans="1:22" x14ac:dyDescent="0.25">
      <c r="A48" s="23" t="s">
        <v>46</v>
      </c>
      <c r="B48" s="13" t="s">
        <v>138</v>
      </c>
      <c r="C48" s="13" t="s">
        <v>163</v>
      </c>
      <c r="D48" s="13">
        <v>4</v>
      </c>
      <c r="E48" s="13" t="s">
        <v>164</v>
      </c>
      <c r="F48" s="13" t="s">
        <v>64</v>
      </c>
      <c r="G48" s="13" t="s">
        <v>141</v>
      </c>
      <c r="H48" s="13">
        <f>AVERAGE(VLOOKUP(E48,ESCALA_PUNTAJE!$H$2:$I$5,2,FALSE),VLOOKUP(F48,ESCALA_PUNTAJE!$H$7:$I$9,2,FALSE),VLOOKUP(G48,ESCALA_PUNTAJE!$H$11:$I$13,2,FALSE))</f>
        <v>1.6666666666666667</v>
      </c>
      <c r="I48" s="13">
        <f t="shared" si="0"/>
        <v>0.58333333333333337</v>
      </c>
      <c r="J48" s="13" t="s">
        <v>75</v>
      </c>
      <c r="K48" s="13" t="s">
        <v>152</v>
      </c>
      <c r="L48" s="13">
        <f>AVERAGE(VLOOKUP(J48,ESCALA_PUNTAJE!$J$2:$K$4,2,FALSE),VLOOKUP(K48,ESCALA_PUNTAJE!$J$6:$K$8,2,FALSE))*0.2</f>
        <v>0.60000000000000009</v>
      </c>
      <c r="M48" s="13" t="s">
        <v>153</v>
      </c>
      <c r="N48" s="13">
        <f>VLOOKUP(M48,ESCALA_PUNTAJE!$M$2:$N$4,2,FALSE)*0.15</f>
        <v>0.44999999999999996</v>
      </c>
      <c r="O48" s="13" t="s">
        <v>158</v>
      </c>
      <c r="P48" s="13">
        <f>VLOOKUP(O48,ESCALA_PUNTAJE!$M$6:$N$11,2,FALSE)*0.3</f>
        <v>0.89999999999999991</v>
      </c>
      <c r="Q48" s="13">
        <f t="shared" si="1"/>
        <v>2.5333333333333332</v>
      </c>
      <c r="R48" s="13" t="str">
        <f t="shared" si="2"/>
        <v>SÍ / ALTO AUTOMÁTICO</v>
      </c>
      <c r="S48" s="13" t="str">
        <f t="shared" si="3"/>
        <v>ALTO</v>
      </c>
      <c r="T48" s="13" t="str">
        <f t="shared" si="4"/>
        <v>Reforzada</v>
      </c>
      <c r="U48" s="13"/>
      <c r="V48" s="24" t="str">
        <f t="shared" si="5"/>
        <v>Escalonamiento automático: revisar DD Reforzada</v>
      </c>
    </row>
    <row r="49" spans="1:22" x14ac:dyDescent="0.25">
      <c r="A49" s="23" t="s">
        <v>47</v>
      </c>
      <c r="B49" s="13" t="s">
        <v>154</v>
      </c>
      <c r="C49" s="13" t="s">
        <v>165</v>
      </c>
      <c r="D49" s="13">
        <v>7</v>
      </c>
      <c r="E49" s="13" t="s">
        <v>140</v>
      </c>
      <c r="F49" s="13" t="s">
        <v>64</v>
      </c>
      <c r="G49" s="13" t="s">
        <v>149</v>
      </c>
      <c r="H49" s="13">
        <f>AVERAGE(VLOOKUP(E49,ESCALA_PUNTAJE!$H$2:$I$5,2,FALSE),VLOOKUP(F49,ESCALA_PUNTAJE!$H$7:$I$9,2,FALSE),VLOOKUP(G49,ESCALA_PUNTAJE!$H$11:$I$13,2,FALSE))</f>
        <v>1.3333333333333333</v>
      </c>
      <c r="I49" s="13">
        <f t="shared" si="0"/>
        <v>0.46666666666666662</v>
      </c>
      <c r="J49" s="13" t="s">
        <v>74</v>
      </c>
      <c r="K49" s="13" t="s">
        <v>152</v>
      </c>
      <c r="L49" s="13">
        <f>AVERAGE(VLOOKUP(J49,ESCALA_PUNTAJE!$J$2:$K$4,2,FALSE),VLOOKUP(K49,ESCALA_PUNTAJE!$J$6:$K$8,2,FALSE))*0.2</f>
        <v>0.5</v>
      </c>
      <c r="M49" s="13" t="s">
        <v>153</v>
      </c>
      <c r="N49" s="13">
        <f>VLOOKUP(M49,ESCALA_PUNTAJE!$M$2:$N$4,2,FALSE)*0.15</f>
        <v>0.44999999999999996</v>
      </c>
      <c r="O49" s="13" t="s">
        <v>158</v>
      </c>
      <c r="P49" s="13">
        <f>VLOOKUP(O49,ESCALA_PUNTAJE!$M$6:$N$11,2,FALSE)*0.3</f>
        <v>0.89999999999999991</v>
      </c>
      <c r="Q49" s="13">
        <f t="shared" si="1"/>
        <v>2.3166666666666664</v>
      </c>
      <c r="R49" s="13" t="str">
        <f t="shared" si="2"/>
        <v>No aplica</v>
      </c>
      <c r="S49" s="13" t="str">
        <f>IF(R49="SÍ / ALTO AUTOMÁTICO","ALTO",IF(Q49&lt;=1.6,"BAJO",IF(Q49&lt;=2.3,"MEDIO","ALTO")) )</f>
        <v>ALTO</v>
      </c>
      <c r="T49" s="13" t="str">
        <f t="shared" si="4"/>
        <v>Reforzada</v>
      </c>
      <c r="U49" s="13"/>
      <c r="V49" s="24" t="str">
        <f t="shared" si="5"/>
        <v/>
      </c>
    </row>
    <row r="50" spans="1:22" x14ac:dyDescent="0.25">
      <c r="A50" s="23" t="s">
        <v>48</v>
      </c>
      <c r="B50" s="13" t="s">
        <v>138</v>
      </c>
      <c r="C50" s="13" t="s">
        <v>165</v>
      </c>
      <c r="D50" s="13">
        <v>12</v>
      </c>
      <c r="E50" s="13" t="s">
        <v>140</v>
      </c>
      <c r="F50" s="13" t="s">
        <v>64</v>
      </c>
      <c r="G50" s="13" t="s">
        <v>149</v>
      </c>
      <c r="H50" s="13">
        <f>AVERAGE(VLOOKUP(E50,ESCALA_PUNTAJE!$H$2:$I$5,2,FALSE),VLOOKUP(F50,ESCALA_PUNTAJE!$H$7:$I$9,2,FALSE),VLOOKUP(G50,ESCALA_PUNTAJE!$H$11:$I$13,2,FALSE))</f>
        <v>1.3333333333333333</v>
      </c>
      <c r="I50" s="13">
        <f t="shared" si="0"/>
        <v>0.46666666666666662</v>
      </c>
      <c r="J50" s="13" t="s">
        <v>75</v>
      </c>
      <c r="K50" s="13" t="s">
        <v>146</v>
      </c>
      <c r="L50" s="13">
        <f>AVERAGE(VLOOKUP(J50,ESCALA_PUNTAJE!$J$2:$K$4,2,FALSE),VLOOKUP(K50,ESCALA_PUNTAJE!$J$6:$K$8,2,FALSE))*0.2</f>
        <v>0.5</v>
      </c>
      <c r="M50" s="13" t="s">
        <v>153</v>
      </c>
      <c r="N50" s="13">
        <f>VLOOKUP(M50,ESCALA_PUNTAJE!$M$2:$N$4,2,FALSE)*0.15</f>
        <v>0.44999999999999996</v>
      </c>
      <c r="O50" s="13" t="s">
        <v>158</v>
      </c>
      <c r="P50" s="13">
        <f>VLOOKUP(O50,ESCALA_PUNTAJE!$M$6:$N$11,2,FALSE)*0.3</f>
        <v>0.89999999999999991</v>
      </c>
      <c r="Q50" s="13">
        <f t="shared" si="1"/>
        <v>2.3166666666666664</v>
      </c>
      <c r="R50" s="13" t="str">
        <f t="shared" si="2"/>
        <v>No aplica</v>
      </c>
      <c r="S50" s="13" t="str">
        <f t="shared" si="3"/>
        <v>ALTO</v>
      </c>
      <c r="T50" s="13" t="str">
        <f t="shared" si="4"/>
        <v>Reforzada</v>
      </c>
      <c r="U50" s="13"/>
      <c r="V50" s="24" t="str">
        <f t="shared" si="5"/>
        <v/>
      </c>
    </row>
    <row r="51" spans="1:22" x14ac:dyDescent="0.25">
      <c r="A51" s="25" t="s">
        <v>49</v>
      </c>
      <c r="B51" s="26" t="s">
        <v>154</v>
      </c>
      <c r="C51" s="26" t="s">
        <v>165</v>
      </c>
      <c r="D51" s="26">
        <v>6</v>
      </c>
      <c r="E51" s="26" t="s">
        <v>140</v>
      </c>
      <c r="F51" s="26" t="s">
        <v>64</v>
      </c>
      <c r="G51" s="26" t="s">
        <v>149</v>
      </c>
      <c r="H51" s="26">
        <f>AVERAGE(VLOOKUP(E51,ESCALA_PUNTAJE!$H$2:$I$5,2,FALSE),VLOOKUP(F51,ESCALA_PUNTAJE!$H$7:$I$9,2,FALSE),VLOOKUP(G51,ESCALA_PUNTAJE!$H$11:$I$13,2,FALSE))</f>
        <v>1.3333333333333333</v>
      </c>
      <c r="I51" s="26">
        <f t="shared" si="0"/>
        <v>0.46666666666666662</v>
      </c>
      <c r="J51" s="26" t="s">
        <v>75</v>
      </c>
      <c r="K51" s="26" t="s">
        <v>152</v>
      </c>
      <c r="L51" s="26">
        <f>AVERAGE(VLOOKUP(J51,ESCALA_PUNTAJE!$J$2:$K$4,2,FALSE),VLOOKUP(K51,ESCALA_PUNTAJE!$J$6:$K$8,2,FALSE))*0.2</f>
        <v>0.60000000000000009</v>
      </c>
      <c r="M51" s="26" t="s">
        <v>153</v>
      </c>
      <c r="N51" s="26">
        <f>VLOOKUP(M51,ESCALA_PUNTAJE!$M$2:$N$4,2,FALSE)*0.15</f>
        <v>0.44999999999999996</v>
      </c>
      <c r="O51" s="26" t="s">
        <v>158</v>
      </c>
      <c r="P51" s="26">
        <f>VLOOKUP(O51,ESCALA_PUNTAJE!$M$6:$N$11,2,FALSE)*0.3</f>
        <v>0.89999999999999991</v>
      </c>
      <c r="Q51" s="26">
        <f t="shared" si="1"/>
        <v>2.4166666666666665</v>
      </c>
      <c r="R51" s="26" t="str">
        <f t="shared" si="2"/>
        <v>No aplica</v>
      </c>
      <c r="S51" s="26" t="str">
        <f t="shared" si="3"/>
        <v>ALTO</v>
      </c>
      <c r="T51" s="26" t="str">
        <f t="shared" si="4"/>
        <v>Reforzada</v>
      </c>
      <c r="U51" s="26"/>
      <c r="V51" s="27" t="str">
        <f t="shared" si="5"/>
        <v/>
      </c>
    </row>
  </sheetData>
  <phoneticPr fontId="2" type="noConversion"/>
  <conditionalFormatting sqref="U2">
    <cfRule type="expression" dxfId="152" priority="1">
      <formula>$S$2="BAJO"</formula>
    </cfRule>
    <cfRule type="expression" dxfId="151" priority="2">
      <formula>$S$2="MEDIO"</formula>
    </cfRule>
    <cfRule type="expression" dxfId="150" priority="3">
      <formula>$S$2="ALTO"</formula>
    </cfRule>
  </conditionalFormatting>
  <conditionalFormatting sqref="U3">
    <cfRule type="expression" dxfId="149" priority="4">
      <formula>$S$3="BAJO"</formula>
    </cfRule>
    <cfRule type="expression" dxfId="148" priority="5">
      <formula>$S$3="MEDIO"</formula>
    </cfRule>
    <cfRule type="expression" dxfId="147" priority="6">
      <formula>$S$3="ALTO"</formula>
    </cfRule>
  </conditionalFormatting>
  <conditionalFormatting sqref="U4">
    <cfRule type="expression" dxfId="146" priority="7">
      <formula>$S$4="BAJO"</formula>
    </cfRule>
    <cfRule type="expression" dxfId="145" priority="8">
      <formula>$S$4="MEDIO"</formula>
    </cfRule>
    <cfRule type="expression" dxfId="144" priority="9">
      <formula>$S$4="ALTO"</formula>
    </cfRule>
  </conditionalFormatting>
  <conditionalFormatting sqref="U5">
    <cfRule type="expression" dxfId="143" priority="10">
      <formula>$S$5="BAJO"</formula>
    </cfRule>
    <cfRule type="expression" dxfId="142" priority="11">
      <formula>$S$5="MEDIO"</formula>
    </cfRule>
    <cfRule type="expression" dxfId="141" priority="12">
      <formula>$S$5="ALTO"</formula>
    </cfRule>
  </conditionalFormatting>
  <conditionalFormatting sqref="U6">
    <cfRule type="expression" dxfId="140" priority="13">
      <formula>$S$6="BAJO"</formula>
    </cfRule>
    <cfRule type="expression" dxfId="139" priority="14">
      <formula>$S$6="MEDIO"</formula>
    </cfRule>
    <cfRule type="expression" dxfId="138" priority="15">
      <formula>$S$6="ALTO"</formula>
    </cfRule>
  </conditionalFormatting>
  <conditionalFormatting sqref="U7">
    <cfRule type="expression" dxfId="137" priority="16">
      <formula>$S$7="BAJO"</formula>
    </cfRule>
    <cfRule type="expression" dxfId="136" priority="17">
      <formula>$S$7="MEDIO"</formula>
    </cfRule>
    <cfRule type="expression" dxfId="135" priority="18">
      <formula>$S$7="ALTO"</formula>
    </cfRule>
  </conditionalFormatting>
  <conditionalFormatting sqref="U8">
    <cfRule type="expression" dxfId="134" priority="19">
      <formula>$S$8="BAJO"</formula>
    </cfRule>
    <cfRule type="expression" dxfId="133" priority="20">
      <formula>$S$8="MEDIO"</formula>
    </cfRule>
    <cfRule type="expression" dxfId="132" priority="21">
      <formula>$S$8="ALTO"</formula>
    </cfRule>
  </conditionalFormatting>
  <conditionalFormatting sqref="U9">
    <cfRule type="expression" dxfId="131" priority="22">
      <formula>$S$9="BAJO"</formula>
    </cfRule>
    <cfRule type="expression" dxfId="130" priority="23">
      <formula>$S$9="MEDIO"</formula>
    </cfRule>
    <cfRule type="expression" dxfId="129" priority="24">
      <formula>$S$9="ALTO"</formula>
    </cfRule>
  </conditionalFormatting>
  <conditionalFormatting sqref="U10">
    <cfRule type="expression" dxfId="128" priority="25">
      <formula>$S$10="BAJO"</formula>
    </cfRule>
    <cfRule type="expression" dxfId="127" priority="26">
      <formula>$S$10="MEDIO"</formula>
    </cfRule>
    <cfRule type="expression" dxfId="126" priority="27">
      <formula>$S$10="ALTO"</formula>
    </cfRule>
  </conditionalFormatting>
  <conditionalFormatting sqref="U11">
    <cfRule type="expression" dxfId="125" priority="28">
      <formula>$S$11="BAJO"</formula>
    </cfRule>
    <cfRule type="expression" dxfId="124" priority="29">
      <formula>$S$11="MEDIO"</formula>
    </cfRule>
    <cfRule type="expression" dxfId="123" priority="30">
      <formula>$S$11="ALTO"</formula>
    </cfRule>
  </conditionalFormatting>
  <conditionalFormatting sqref="U12">
    <cfRule type="expression" dxfId="122" priority="31">
      <formula>$S$12="BAJO"</formula>
    </cfRule>
    <cfRule type="expression" dxfId="121" priority="32">
      <formula>$S$12="MEDIO"</formula>
    </cfRule>
    <cfRule type="expression" dxfId="120" priority="33">
      <formula>$S$12="ALTO"</formula>
    </cfRule>
  </conditionalFormatting>
  <conditionalFormatting sqref="U13">
    <cfRule type="expression" dxfId="119" priority="34">
      <formula>$S$13="BAJO"</formula>
    </cfRule>
    <cfRule type="expression" dxfId="118" priority="35">
      <formula>$S$13="MEDIO"</formula>
    </cfRule>
    <cfRule type="expression" dxfId="117" priority="36">
      <formula>$S$13="ALTO"</formula>
    </cfRule>
  </conditionalFormatting>
  <conditionalFormatting sqref="U14">
    <cfRule type="expression" dxfId="116" priority="37">
      <formula>$S$14="BAJO"</formula>
    </cfRule>
    <cfRule type="expression" dxfId="115" priority="38">
      <formula>$S$14="MEDIO"</formula>
    </cfRule>
    <cfRule type="expression" dxfId="114" priority="39">
      <formula>$S$14="ALTO"</formula>
    </cfRule>
  </conditionalFormatting>
  <conditionalFormatting sqref="U15">
    <cfRule type="expression" dxfId="113" priority="40">
      <formula>$S$15="BAJO"</formula>
    </cfRule>
    <cfRule type="expression" dxfId="112" priority="41">
      <formula>$S$15="MEDIO"</formula>
    </cfRule>
    <cfRule type="expression" dxfId="111" priority="42">
      <formula>$S$15="ALTO"</formula>
    </cfRule>
  </conditionalFormatting>
  <conditionalFormatting sqref="U16">
    <cfRule type="expression" dxfId="110" priority="43">
      <formula>$S$16="BAJO"</formula>
    </cfRule>
    <cfRule type="expression" dxfId="109" priority="44">
      <formula>$S$16="MEDIO"</formula>
    </cfRule>
    <cfRule type="expression" dxfId="108" priority="45">
      <formula>$S$16="ALTO"</formula>
    </cfRule>
  </conditionalFormatting>
  <conditionalFormatting sqref="U17">
    <cfRule type="expression" dxfId="107" priority="46">
      <formula>$S$17="BAJO"</formula>
    </cfRule>
    <cfRule type="expression" dxfId="106" priority="47">
      <formula>$S$17="MEDIO"</formula>
    </cfRule>
    <cfRule type="expression" dxfId="105" priority="48">
      <formula>$S$17="ALTO"</formula>
    </cfRule>
  </conditionalFormatting>
  <conditionalFormatting sqref="U18">
    <cfRule type="expression" dxfId="104" priority="49">
      <formula>$S$18="BAJO"</formula>
    </cfRule>
    <cfRule type="expression" dxfId="103" priority="50">
      <formula>$S$18="MEDIO"</formula>
    </cfRule>
    <cfRule type="expression" dxfId="102" priority="51">
      <formula>$S$18="ALTO"</formula>
    </cfRule>
  </conditionalFormatting>
  <conditionalFormatting sqref="U19">
    <cfRule type="expression" dxfId="101" priority="52">
      <formula>$S$19="BAJO"</formula>
    </cfRule>
    <cfRule type="expression" dxfId="100" priority="53">
      <formula>$S$19="MEDIO"</formula>
    </cfRule>
    <cfRule type="expression" dxfId="99" priority="54">
      <formula>$S$19="ALTO"</formula>
    </cfRule>
  </conditionalFormatting>
  <conditionalFormatting sqref="U20">
    <cfRule type="expression" dxfId="98" priority="55">
      <formula>$S$20="BAJO"</formula>
    </cfRule>
    <cfRule type="expression" dxfId="97" priority="56">
      <formula>$S$20="MEDIO"</formula>
    </cfRule>
    <cfRule type="expression" dxfId="96" priority="57">
      <formula>$S$20="ALTO"</formula>
    </cfRule>
  </conditionalFormatting>
  <conditionalFormatting sqref="U21">
    <cfRule type="expression" dxfId="95" priority="58">
      <formula>$S$21="BAJO"</formula>
    </cfRule>
    <cfRule type="expression" dxfId="94" priority="59">
      <formula>$S$21="MEDIO"</formula>
    </cfRule>
    <cfRule type="expression" dxfId="93" priority="60">
      <formula>$S$21="ALTO"</formula>
    </cfRule>
  </conditionalFormatting>
  <conditionalFormatting sqref="U22">
    <cfRule type="expression" dxfId="92" priority="61">
      <formula>$S$22="BAJO"</formula>
    </cfRule>
    <cfRule type="expression" dxfId="91" priority="62">
      <formula>$S$22="MEDIO"</formula>
    </cfRule>
    <cfRule type="expression" dxfId="90" priority="63">
      <formula>$S$22="ALTO"</formula>
    </cfRule>
  </conditionalFormatting>
  <conditionalFormatting sqref="U23">
    <cfRule type="expression" dxfId="89" priority="64">
      <formula>$S$23="BAJO"</formula>
    </cfRule>
    <cfRule type="expression" dxfId="88" priority="65">
      <formula>$S$23="MEDIO"</formula>
    </cfRule>
    <cfRule type="expression" dxfId="87" priority="66">
      <formula>$S$23="ALTO"</formula>
    </cfRule>
  </conditionalFormatting>
  <conditionalFormatting sqref="U24">
    <cfRule type="expression" dxfId="86" priority="67">
      <formula>$S$24="BAJO"</formula>
    </cfRule>
    <cfRule type="expression" dxfId="85" priority="68">
      <formula>$S$24="MEDIO"</formula>
    </cfRule>
    <cfRule type="expression" dxfId="84" priority="69">
      <formula>$S$24="ALTO"</formula>
    </cfRule>
  </conditionalFormatting>
  <conditionalFormatting sqref="U25">
    <cfRule type="expression" dxfId="83" priority="70">
      <formula>$S$25="BAJO"</formula>
    </cfRule>
    <cfRule type="expression" dxfId="82" priority="71">
      <formula>$S$25="MEDIO"</formula>
    </cfRule>
    <cfRule type="expression" dxfId="81" priority="72">
      <formula>$S$25="ALTO"</formula>
    </cfRule>
  </conditionalFormatting>
  <conditionalFormatting sqref="U26">
    <cfRule type="expression" dxfId="80" priority="73">
      <formula>$S$26="BAJO"</formula>
    </cfRule>
    <cfRule type="expression" dxfId="79" priority="74">
      <formula>$S$26="MEDIO"</formula>
    </cfRule>
    <cfRule type="expression" dxfId="78" priority="75">
      <formula>$S$26="ALTO"</formula>
    </cfRule>
  </conditionalFormatting>
  <conditionalFormatting sqref="U27">
    <cfRule type="expression" dxfId="77" priority="76">
      <formula>$S$27="BAJO"</formula>
    </cfRule>
    <cfRule type="expression" dxfId="76" priority="77">
      <formula>$S$27="MEDIO"</formula>
    </cfRule>
    <cfRule type="expression" dxfId="75" priority="78">
      <formula>$S$27="ALTO"</formula>
    </cfRule>
  </conditionalFormatting>
  <conditionalFormatting sqref="U28">
    <cfRule type="expression" dxfId="74" priority="79">
      <formula>$S$28="BAJO"</formula>
    </cfRule>
    <cfRule type="expression" dxfId="73" priority="80">
      <formula>$S$28="MEDIO"</formula>
    </cfRule>
    <cfRule type="expression" dxfId="72" priority="81">
      <formula>$S$28="ALTO"</formula>
    </cfRule>
  </conditionalFormatting>
  <conditionalFormatting sqref="U29">
    <cfRule type="expression" dxfId="71" priority="82">
      <formula>$S$29="BAJO"</formula>
    </cfRule>
    <cfRule type="expression" dxfId="70" priority="83">
      <formula>$S$29="MEDIO"</formula>
    </cfRule>
    <cfRule type="expression" dxfId="69" priority="84">
      <formula>$S$29="ALTO"</formula>
    </cfRule>
  </conditionalFormatting>
  <conditionalFormatting sqref="U30">
    <cfRule type="expression" dxfId="68" priority="85">
      <formula>$S$30="BAJO"</formula>
    </cfRule>
    <cfRule type="expression" dxfId="67" priority="86">
      <formula>$S$30="MEDIO"</formula>
    </cfRule>
    <cfRule type="expression" dxfId="66" priority="87">
      <formula>$S$30="ALTO"</formula>
    </cfRule>
  </conditionalFormatting>
  <conditionalFormatting sqref="U31">
    <cfRule type="expression" dxfId="65" priority="88">
      <formula>$S$31="BAJO"</formula>
    </cfRule>
    <cfRule type="expression" dxfId="64" priority="89">
      <formula>$S$31="MEDIO"</formula>
    </cfRule>
    <cfRule type="expression" dxfId="63" priority="90">
      <formula>$S$31="ALTO"</formula>
    </cfRule>
  </conditionalFormatting>
  <conditionalFormatting sqref="U32">
    <cfRule type="expression" dxfId="62" priority="91">
      <formula>$S$32="BAJO"</formula>
    </cfRule>
    <cfRule type="expression" dxfId="61" priority="92">
      <formula>$S$32="MEDIO"</formula>
    </cfRule>
    <cfRule type="expression" dxfId="60" priority="93">
      <formula>$S$32="ALTO"</formula>
    </cfRule>
  </conditionalFormatting>
  <conditionalFormatting sqref="U33">
    <cfRule type="expression" dxfId="59" priority="94">
      <formula>$S$33="BAJO"</formula>
    </cfRule>
    <cfRule type="expression" dxfId="58" priority="95">
      <formula>$S$33="MEDIO"</formula>
    </cfRule>
    <cfRule type="expression" dxfId="57" priority="96">
      <formula>$S$33="ALTO"</formula>
    </cfRule>
  </conditionalFormatting>
  <conditionalFormatting sqref="U34">
    <cfRule type="expression" dxfId="56" priority="97">
      <formula>$S$34="BAJO"</formula>
    </cfRule>
    <cfRule type="expression" dxfId="55" priority="98">
      <formula>$S$34="MEDIO"</formula>
    </cfRule>
    <cfRule type="expression" dxfId="54" priority="99">
      <formula>$S$34="ALTO"</formula>
    </cfRule>
  </conditionalFormatting>
  <conditionalFormatting sqref="U35">
    <cfRule type="expression" dxfId="53" priority="100">
      <formula>$S$35="BAJO"</formula>
    </cfRule>
    <cfRule type="expression" dxfId="52" priority="101">
      <formula>$S$35="MEDIO"</formula>
    </cfRule>
    <cfRule type="expression" dxfId="51" priority="102">
      <formula>$S$35="ALTO"</formula>
    </cfRule>
  </conditionalFormatting>
  <conditionalFormatting sqref="U36">
    <cfRule type="expression" dxfId="50" priority="103">
      <formula>$S$36="BAJO"</formula>
    </cfRule>
    <cfRule type="expression" dxfId="49" priority="104">
      <formula>$S$36="MEDIO"</formula>
    </cfRule>
    <cfRule type="expression" dxfId="48" priority="105">
      <formula>$S$36="ALTO"</formula>
    </cfRule>
  </conditionalFormatting>
  <conditionalFormatting sqref="U37">
    <cfRule type="expression" dxfId="47" priority="106">
      <formula>$S$37="BAJO"</formula>
    </cfRule>
    <cfRule type="expression" dxfId="46" priority="107">
      <formula>$S$37="MEDIO"</formula>
    </cfRule>
    <cfRule type="expression" dxfId="45" priority="108">
      <formula>$S$37="ALTO"</formula>
    </cfRule>
  </conditionalFormatting>
  <conditionalFormatting sqref="U38">
    <cfRule type="expression" dxfId="44" priority="109">
      <formula>$S$38="BAJO"</formula>
    </cfRule>
    <cfRule type="expression" dxfId="43" priority="110">
      <formula>$S$38="MEDIO"</formula>
    </cfRule>
    <cfRule type="expression" dxfId="42" priority="111">
      <formula>$S$38="ALTO"</formula>
    </cfRule>
  </conditionalFormatting>
  <conditionalFormatting sqref="U39">
    <cfRule type="expression" dxfId="41" priority="112">
      <formula>$S$39="BAJO"</formula>
    </cfRule>
    <cfRule type="expression" dxfId="40" priority="113">
      <formula>$S$39="MEDIO"</formula>
    </cfRule>
    <cfRule type="expression" dxfId="39" priority="114">
      <formula>$S$39="ALTO"</formula>
    </cfRule>
  </conditionalFormatting>
  <conditionalFormatting sqref="U40">
    <cfRule type="expression" dxfId="38" priority="115">
      <formula>$S$40="BAJO"</formula>
    </cfRule>
    <cfRule type="expression" dxfId="37" priority="116">
      <formula>$S$40="MEDIO"</formula>
    </cfRule>
    <cfRule type="expression" dxfId="36" priority="117">
      <formula>$S$40="ALTO"</formula>
    </cfRule>
  </conditionalFormatting>
  <conditionalFormatting sqref="U41">
    <cfRule type="expression" dxfId="35" priority="118">
      <formula>$S$41="BAJO"</formula>
    </cfRule>
    <cfRule type="expression" dxfId="34" priority="119">
      <formula>$S$41="MEDIO"</formula>
    </cfRule>
    <cfRule type="expression" dxfId="33" priority="120">
      <formula>$S$41="ALTO"</formula>
    </cfRule>
  </conditionalFormatting>
  <conditionalFormatting sqref="U42">
    <cfRule type="expression" dxfId="32" priority="121">
      <formula>$S$42="BAJO"</formula>
    </cfRule>
    <cfRule type="expression" dxfId="31" priority="122">
      <formula>$S$42="MEDIO"</formula>
    </cfRule>
    <cfRule type="expression" dxfId="30" priority="123">
      <formula>$S$42="ALTO"</formula>
    </cfRule>
  </conditionalFormatting>
  <conditionalFormatting sqref="U43">
    <cfRule type="expression" dxfId="29" priority="124">
      <formula>$S$43="BAJO"</formula>
    </cfRule>
    <cfRule type="expression" dxfId="28" priority="125">
      <formula>$S$43="MEDIO"</formula>
    </cfRule>
    <cfRule type="expression" dxfId="27" priority="126">
      <formula>$S$43="ALTO"</formula>
    </cfRule>
  </conditionalFormatting>
  <conditionalFormatting sqref="U44">
    <cfRule type="expression" dxfId="26" priority="127">
      <formula>$S$44="BAJO"</formula>
    </cfRule>
    <cfRule type="expression" dxfId="25" priority="128">
      <formula>$S$44="MEDIO"</formula>
    </cfRule>
    <cfRule type="expression" dxfId="24" priority="129">
      <formula>$S$44="ALTO"</formula>
    </cfRule>
  </conditionalFormatting>
  <conditionalFormatting sqref="U45">
    <cfRule type="expression" dxfId="23" priority="130">
      <formula>$S$45="BAJO"</formula>
    </cfRule>
    <cfRule type="expression" dxfId="22" priority="131">
      <formula>$S$45="MEDIO"</formula>
    </cfRule>
    <cfRule type="expression" dxfId="21" priority="132">
      <formula>$S$45="ALTO"</formula>
    </cfRule>
  </conditionalFormatting>
  <conditionalFormatting sqref="U46">
    <cfRule type="expression" dxfId="20" priority="133">
      <formula>$S$46="BAJO"</formula>
    </cfRule>
    <cfRule type="expression" dxfId="19" priority="134">
      <formula>$S$46="MEDIO"</formula>
    </cfRule>
    <cfRule type="expression" dxfId="18" priority="135">
      <formula>$S$46="ALTO"</formula>
    </cfRule>
  </conditionalFormatting>
  <conditionalFormatting sqref="U47">
    <cfRule type="expression" dxfId="17" priority="136">
      <formula>$S$47="BAJO"</formula>
    </cfRule>
    <cfRule type="expression" dxfId="16" priority="137">
      <formula>$S$47="MEDIO"</formula>
    </cfRule>
    <cfRule type="expression" dxfId="15" priority="138">
      <formula>$S$47="ALTO"</formula>
    </cfRule>
  </conditionalFormatting>
  <conditionalFormatting sqref="U48">
    <cfRule type="expression" dxfId="14" priority="139">
      <formula>$S$48="BAJO"</formula>
    </cfRule>
    <cfRule type="expression" dxfId="13" priority="140">
      <formula>$S$48="MEDIO"</formula>
    </cfRule>
    <cfRule type="expression" dxfId="12" priority="141">
      <formula>$S$48="ALTO"</formula>
    </cfRule>
  </conditionalFormatting>
  <conditionalFormatting sqref="U49">
    <cfRule type="expression" dxfId="11" priority="142">
      <formula>$S$49="BAJO"</formula>
    </cfRule>
    <cfRule type="expression" dxfId="10" priority="143">
      <formula>$S$49="MEDIO"</formula>
    </cfRule>
    <cfRule type="expression" dxfId="9" priority="144">
      <formula>$S$49="ALTO"</formula>
    </cfRule>
  </conditionalFormatting>
  <conditionalFormatting sqref="U50">
    <cfRule type="expression" dxfId="8" priority="145">
      <formula>$S$50="BAJO"</formula>
    </cfRule>
    <cfRule type="expression" dxfId="7" priority="146">
      <formula>$S$50="MEDIO"</formula>
    </cfRule>
    <cfRule type="expression" dxfId="6" priority="147">
      <formula>$S$50="ALTO"</formula>
    </cfRule>
  </conditionalFormatting>
  <conditionalFormatting sqref="U51">
    <cfRule type="expression" dxfId="5" priority="148">
      <formula>$S$51="BAJO"</formula>
    </cfRule>
    <cfRule type="expression" dxfId="4" priority="149">
      <formula>$S$51="MEDIO"</formula>
    </cfRule>
    <cfRule type="expression" dxfId="3" priority="150">
      <formula>$S$51="ALTO"</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2260F-BB44-4E4E-851C-42B1CF2F6643}">
  <dimension ref="A1:N47"/>
  <sheetViews>
    <sheetView zoomScale="80" zoomScaleNormal="80" workbookViewId="0">
      <selection activeCell="D52" sqref="D52"/>
    </sheetView>
  </sheetViews>
  <sheetFormatPr defaultRowHeight="15" x14ac:dyDescent="0.25"/>
  <cols>
    <col min="1" max="1" width="41.28515625" customWidth="1"/>
    <col min="2" max="2" width="33.7109375" customWidth="1"/>
    <col min="3" max="3" width="37.85546875" customWidth="1"/>
    <col min="4" max="4" width="42.42578125" customWidth="1"/>
    <col min="8" max="8" width="31" customWidth="1"/>
    <col min="9" max="9" width="19.140625" customWidth="1"/>
    <col min="10" max="10" width="62.28515625" customWidth="1"/>
    <col min="11" max="15" width="21.85546875" customWidth="1"/>
  </cols>
  <sheetData>
    <row r="1" spans="1:14" ht="15.75" thickBot="1" x14ac:dyDescent="0.3">
      <c r="H1" s="16" t="s">
        <v>120</v>
      </c>
      <c r="I1" s="15" t="s">
        <v>120</v>
      </c>
      <c r="J1" s="15" t="s">
        <v>189</v>
      </c>
      <c r="K1" s="15" t="s">
        <v>189</v>
      </c>
      <c r="M1" s="15" t="s">
        <v>186</v>
      </c>
      <c r="N1" s="15" t="s">
        <v>186</v>
      </c>
    </row>
    <row r="2" spans="1:14" x14ac:dyDescent="0.25">
      <c r="H2" s="14" t="s">
        <v>140</v>
      </c>
      <c r="I2" s="14">
        <v>1</v>
      </c>
      <c r="J2" s="14" t="s">
        <v>73</v>
      </c>
      <c r="K2" s="14">
        <v>1</v>
      </c>
      <c r="M2" s="14" t="s">
        <v>143</v>
      </c>
      <c r="N2" s="14">
        <v>1</v>
      </c>
    </row>
    <row r="3" spans="1:14" x14ac:dyDescent="0.25">
      <c r="A3" s="41" t="s">
        <v>51</v>
      </c>
      <c r="B3" s="41"/>
      <c r="C3" s="41"/>
      <c r="D3" s="41"/>
      <c r="E3" s="1"/>
      <c r="F3" s="1"/>
      <c r="G3" s="1"/>
      <c r="H3" s="2" t="s">
        <v>145</v>
      </c>
      <c r="I3" s="2">
        <v>2</v>
      </c>
      <c r="J3" s="2" t="s">
        <v>74</v>
      </c>
      <c r="K3" s="2">
        <v>2</v>
      </c>
      <c r="M3" s="2" t="s">
        <v>147</v>
      </c>
      <c r="N3" s="2">
        <v>2</v>
      </c>
    </row>
    <row r="4" spans="1:14" ht="30.75" thickBot="1" x14ac:dyDescent="0.3">
      <c r="A4" s="3" t="s">
        <v>50</v>
      </c>
      <c r="B4" s="3" t="s">
        <v>52</v>
      </c>
      <c r="C4" s="3" t="s">
        <v>53</v>
      </c>
      <c r="D4" s="3" t="s">
        <v>54</v>
      </c>
      <c r="H4" s="2" t="s">
        <v>162</v>
      </c>
      <c r="I4" s="2">
        <v>3</v>
      </c>
      <c r="J4" s="9" t="s">
        <v>75</v>
      </c>
      <c r="K4" s="10">
        <v>3</v>
      </c>
      <c r="M4" s="10" t="s">
        <v>153</v>
      </c>
      <c r="N4" s="10">
        <v>3</v>
      </c>
    </row>
    <row r="5" spans="1:14" ht="30.75" thickBot="1" x14ac:dyDescent="0.3">
      <c r="A5" s="5" t="s">
        <v>55</v>
      </c>
      <c r="B5" s="4" t="s">
        <v>56</v>
      </c>
      <c r="C5" s="4" t="s">
        <v>57</v>
      </c>
      <c r="D5" s="4" t="s">
        <v>58</v>
      </c>
      <c r="H5" s="10" t="s">
        <v>164</v>
      </c>
      <c r="I5" s="17">
        <v>3</v>
      </c>
      <c r="J5" s="15" t="s">
        <v>188</v>
      </c>
      <c r="K5" s="15" t="s">
        <v>188</v>
      </c>
      <c r="M5" s="15" t="s">
        <v>187</v>
      </c>
      <c r="N5" s="15" t="s">
        <v>187</v>
      </c>
    </row>
    <row r="6" spans="1:14" ht="30.75" thickBot="1" x14ac:dyDescent="0.3">
      <c r="A6" s="5" t="s">
        <v>59</v>
      </c>
      <c r="B6" s="6" t="s">
        <v>60</v>
      </c>
      <c r="C6" s="6" t="s">
        <v>61</v>
      </c>
      <c r="D6" s="6" t="s">
        <v>62</v>
      </c>
      <c r="H6" s="15" t="s">
        <v>121</v>
      </c>
      <c r="I6" s="15" t="s">
        <v>121</v>
      </c>
      <c r="J6" s="18" t="s">
        <v>142</v>
      </c>
      <c r="K6" s="14">
        <v>1</v>
      </c>
      <c r="M6" s="14" t="s">
        <v>90</v>
      </c>
      <c r="N6" s="14">
        <v>1</v>
      </c>
    </row>
    <row r="7" spans="1:14" ht="30" x14ac:dyDescent="0.25">
      <c r="A7" s="5" t="s">
        <v>63</v>
      </c>
      <c r="B7" s="6" t="s">
        <v>64</v>
      </c>
      <c r="C7" s="6" t="s">
        <v>65</v>
      </c>
      <c r="D7" s="6" t="s">
        <v>66</v>
      </c>
      <c r="H7" s="14" t="s">
        <v>64</v>
      </c>
      <c r="I7" s="14">
        <v>1</v>
      </c>
      <c r="J7" s="2" t="s">
        <v>146</v>
      </c>
      <c r="K7" s="2">
        <v>2</v>
      </c>
      <c r="M7" s="2" t="s">
        <v>91</v>
      </c>
      <c r="N7" s="2">
        <v>1</v>
      </c>
    </row>
    <row r="8" spans="1:14" x14ac:dyDescent="0.25">
      <c r="A8" s="5" t="s">
        <v>67</v>
      </c>
      <c r="B8" s="6" t="s">
        <v>68</v>
      </c>
      <c r="C8" s="6" t="s">
        <v>69</v>
      </c>
      <c r="D8" s="6" t="s">
        <v>70</v>
      </c>
      <c r="H8" s="2" t="s">
        <v>151</v>
      </c>
      <c r="I8" s="2">
        <v>2</v>
      </c>
      <c r="J8" s="2" t="s">
        <v>152</v>
      </c>
      <c r="K8" s="2">
        <v>3</v>
      </c>
      <c r="M8" s="2" t="s">
        <v>92</v>
      </c>
      <c r="N8" s="2">
        <v>1</v>
      </c>
    </row>
    <row r="9" spans="1:14" ht="15.75" thickBot="1" x14ac:dyDescent="0.3">
      <c r="A9" s="42" t="s">
        <v>71</v>
      </c>
      <c r="B9" s="42"/>
      <c r="C9" s="42"/>
      <c r="D9" s="42"/>
      <c r="H9" s="10" t="s">
        <v>168</v>
      </c>
      <c r="I9" s="10">
        <v>3</v>
      </c>
      <c r="M9" s="2" t="s">
        <v>93</v>
      </c>
      <c r="N9" s="2">
        <v>1</v>
      </c>
    </row>
    <row r="10" spans="1:14" ht="30.75" thickBot="1" x14ac:dyDescent="0.3">
      <c r="A10" s="42"/>
      <c r="B10" s="42"/>
      <c r="C10" s="42"/>
      <c r="D10" s="42"/>
      <c r="H10" s="15" t="s">
        <v>190</v>
      </c>
      <c r="I10" s="15" t="s">
        <v>190</v>
      </c>
      <c r="M10" s="4" t="s">
        <v>148</v>
      </c>
      <c r="N10" s="2">
        <v>2</v>
      </c>
    </row>
    <row r="11" spans="1:14" x14ac:dyDescent="0.25">
      <c r="H11" s="14" t="s">
        <v>141</v>
      </c>
      <c r="I11" s="14">
        <v>1</v>
      </c>
      <c r="M11" s="4" t="s">
        <v>158</v>
      </c>
      <c r="N11" s="2">
        <v>3</v>
      </c>
    </row>
    <row r="12" spans="1:14" x14ac:dyDescent="0.25">
      <c r="H12" s="2" t="s">
        <v>149</v>
      </c>
      <c r="I12" s="2">
        <v>2</v>
      </c>
    </row>
    <row r="13" spans="1:14" x14ac:dyDescent="0.25">
      <c r="H13" s="2" t="s">
        <v>159</v>
      </c>
      <c r="I13" s="2">
        <v>3</v>
      </c>
    </row>
    <row r="14" spans="1:14" x14ac:dyDescent="0.25">
      <c r="A14" s="37" t="s">
        <v>80</v>
      </c>
      <c r="B14" s="37"/>
      <c r="C14" s="37"/>
      <c r="D14" s="37"/>
    </row>
    <row r="15" spans="1:14" x14ac:dyDescent="0.25">
      <c r="A15" s="7" t="s">
        <v>50</v>
      </c>
      <c r="B15" s="7" t="s">
        <v>52</v>
      </c>
      <c r="C15" s="7" t="s">
        <v>53</v>
      </c>
      <c r="D15" s="7" t="s">
        <v>81</v>
      </c>
    </row>
    <row r="16" spans="1:14" ht="30" x14ac:dyDescent="0.25">
      <c r="A16" s="4" t="s">
        <v>72</v>
      </c>
      <c r="B16" s="4" t="s">
        <v>73</v>
      </c>
      <c r="C16" s="4" t="s">
        <v>74</v>
      </c>
      <c r="D16" s="4" t="s">
        <v>75</v>
      </c>
    </row>
    <row r="17" spans="1:6" ht="30" x14ac:dyDescent="0.25">
      <c r="A17" s="4" t="s">
        <v>76</v>
      </c>
      <c r="B17" s="4" t="s">
        <v>77</v>
      </c>
      <c r="C17" s="4" t="s">
        <v>78</v>
      </c>
      <c r="D17" s="4" t="s">
        <v>79</v>
      </c>
    </row>
    <row r="20" spans="1:6" x14ac:dyDescent="0.25">
      <c r="A20" s="40" t="s">
        <v>87</v>
      </c>
      <c r="B20" s="40"/>
    </row>
    <row r="21" spans="1:6" x14ac:dyDescent="0.25">
      <c r="A21" s="8" t="s">
        <v>82</v>
      </c>
      <c r="B21" s="8" t="s">
        <v>83</v>
      </c>
    </row>
    <row r="22" spans="1:6" ht="30" x14ac:dyDescent="0.25">
      <c r="A22" s="4" t="s">
        <v>84</v>
      </c>
      <c r="B22" s="2">
        <v>1</v>
      </c>
    </row>
    <row r="23" spans="1:6" ht="30" x14ac:dyDescent="0.25">
      <c r="A23" s="4" t="s">
        <v>85</v>
      </c>
      <c r="B23" s="2">
        <v>2</v>
      </c>
    </row>
    <row r="24" spans="1:6" ht="30" x14ac:dyDescent="0.25">
      <c r="A24" s="9" t="s">
        <v>86</v>
      </c>
      <c r="B24" s="10">
        <v>3</v>
      </c>
    </row>
    <row r="25" spans="1:6" x14ac:dyDescent="0.25">
      <c r="A25" s="38" t="s">
        <v>88</v>
      </c>
      <c r="B25" s="38"/>
      <c r="C25" s="12"/>
      <c r="D25" s="12"/>
      <c r="E25" s="12"/>
      <c r="F25" s="12"/>
    </row>
    <row r="26" spans="1:6" x14ac:dyDescent="0.25">
      <c r="A26" s="38"/>
      <c r="B26" s="38"/>
    </row>
    <row r="28" spans="1:6" x14ac:dyDescent="0.25">
      <c r="A28" s="37" t="s">
        <v>114</v>
      </c>
      <c r="B28" s="37"/>
    </row>
    <row r="29" spans="1:6" x14ac:dyDescent="0.25">
      <c r="A29" s="7" t="s">
        <v>89</v>
      </c>
      <c r="B29" s="7" t="s">
        <v>83</v>
      </c>
    </row>
    <row r="30" spans="1:6" x14ac:dyDescent="0.25">
      <c r="A30" s="4" t="s">
        <v>90</v>
      </c>
      <c r="B30" s="4">
        <v>1</v>
      </c>
    </row>
    <row r="31" spans="1:6" x14ac:dyDescent="0.25">
      <c r="A31" s="4" t="s">
        <v>91</v>
      </c>
      <c r="B31" s="4">
        <v>1</v>
      </c>
    </row>
    <row r="32" spans="1:6" x14ac:dyDescent="0.25">
      <c r="A32" s="4" t="s">
        <v>92</v>
      </c>
      <c r="B32" s="4">
        <v>1</v>
      </c>
    </row>
    <row r="33" spans="1:5" x14ac:dyDescent="0.25">
      <c r="A33" s="4" t="s">
        <v>93</v>
      </c>
      <c r="B33" s="4">
        <v>1</v>
      </c>
    </row>
    <row r="34" spans="1:5" ht="30" x14ac:dyDescent="0.25">
      <c r="A34" s="4" t="s">
        <v>94</v>
      </c>
      <c r="B34" s="4">
        <v>2</v>
      </c>
    </row>
    <row r="35" spans="1:5" ht="30" x14ac:dyDescent="0.25">
      <c r="A35" s="11" t="s">
        <v>95</v>
      </c>
      <c r="B35" s="9">
        <v>3</v>
      </c>
      <c r="D35" t="s">
        <v>115</v>
      </c>
    </row>
    <row r="36" spans="1:5" x14ac:dyDescent="0.25">
      <c r="A36" s="39" t="s">
        <v>96</v>
      </c>
      <c r="B36" s="39"/>
      <c r="C36" s="12"/>
      <c r="D36" s="12"/>
      <c r="E36" s="12"/>
    </row>
    <row r="39" spans="1:5" x14ac:dyDescent="0.25">
      <c r="A39" s="40" t="s">
        <v>115</v>
      </c>
      <c r="B39" s="40"/>
      <c r="C39" s="40"/>
      <c r="D39" s="40"/>
    </row>
    <row r="40" spans="1:5" x14ac:dyDescent="0.25">
      <c r="A40" s="8" t="s">
        <v>97</v>
      </c>
      <c r="B40" s="8" t="s">
        <v>98</v>
      </c>
      <c r="C40" s="8" t="s">
        <v>99</v>
      </c>
      <c r="D40" s="8" t="s">
        <v>100</v>
      </c>
    </row>
    <row r="41" spans="1:5" ht="30" x14ac:dyDescent="0.25">
      <c r="A41" s="4" t="s">
        <v>101</v>
      </c>
      <c r="B41" s="4" t="s">
        <v>102</v>
      </c>
      <c r="C41" s="4" t="s">
        <v>103</v>
      </c>
      <c r="D41" s="4" t="s">
        <v>104</v>
      </c>
    </row>
    <row r="42" spans="1:5" ht="30" x14ac:dyDescent="0.25">
      <c r="A42" s="4" t="s">
        <v>105</v>
      </c>
      <c r="B42" s="4" t="s">
        <v>106</v>
      </c>
      <c r="C42" s="4" t="s">
        <v>107</v>
      </c>
      <c r="D42" s="4" t="s">
        <v>108</v>
      </c>
    </row>
    <row r="43" spans="1:5" ht="30" x14ac:dyDescent="0.25">
      <c r="A43" s="4" t="s">
        <v>109</v>
      </c>
      <c r="B43" s="4" t="s">
        <v>110</v>
      </c>
      <c r="C43" s="4" t="s">
        <v>111</v>
      </c>
      <c r="D43" s="4" t="s">
        <v>112</v>
      </c>
    </row>
    <row r="44" spans="1:5" x14ac:dyDescent="0.25">
      <c r="A44" s="37" t="s">
        <v>113</v>
      </c>
      <c r="B44" s="37"/>
      <c r="C44" s="37"/>
      <c r="D44" s="37"/>
    </row>
    <row r="45" spans="1:5" ht="15" customHeight="1" x14ac:dyDescent="0.25">
      <c r="A45" s="37"/>
      <c r="B45" s="37"/>
      <c r="C45" s="37"/>
      <c r="D45" s="37"/>
    </row>
    <row r="46" spans="1:5" x14ac:dyDescent="0.25">
      <c r="A46" s="37"/>
      <c r="B46" s="37"/>
      <c r="C46" s="37"/>
      <c r="D46" s="37"/>
    </row>
    <row r="47" spans="1:5" x14ac:dyDescent="0.25">
      <c r="A47" s="37"/>
      <c r="B47" s="37"/>
      <c r="C47" s="37"/>
      <c r="D47" s="37"/>
    </row>
  </sheetData>
  <mergeCells count="9">
    <mergeCell ref="A3:D3"/>
    <mergeCell ref="A9:D10"/>
    <mergeCell ref="A14:D14"/>
    <mergeCell ref="A20:B20"/>
    <mergeCell ref="A44:D47"/>
    <mergeCell ref="A25:B26"/>
    <mergeCell ref="A28:B28"/>
    <mergeCell ref="A36:B36"/>
    <mergeCell ref="A39:D3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98F98-774E-41A2-97BE-2672F63BB8E0}">
  <dimension ref="A1:AX66"/>
  <sheetViews>
    <sheetView showGridLines="0" zoomScale="50" zoomScaleNormal="50" workbookViewId="0">
      <selection activeCell="BT94" sqref="BT94"/>
    </sheetView>
  </sheetViews>
  <sheetFormatPr defaultRowHeight="15" x14ac:dyDescent="0.25"/>
  <cols>
    <col min="5" max="5" width="10" customWidth="1"/>
    <col min="22" max="22" width="8.28515625" customWidth="1"/>
    <col min="23" max="23" width="1.140625" customWidth="1"/>
    <col min="24" max="24" width="1.42578125" customWidth="1"/>
    <col min="30" max="30" width="9.140625" customWidth="1"/>
    <col min="39" max="39" width="9.140625" customWidth="1"/>
    <col min="40" max="40" width="9.42578125" customWidth="1"/>
  </cols>
  <sheetData>
    <row r="1" spans="1:50" ht="15" customHeight="1" x14ac:dyDescent="0.25">
      <c r="A1" s="34"/>
      <c r="B1" s="34"/>
      <c r="C1" s="34"/>
      <c r="D1" s="34"/>
      <c r="E1" s="34"/>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row>
    <row r="2" spans="1:50" ht="15" customHeight="1" x14ac:dyDescent="0.25">
      <c r="A2" s="34"/>
      <c r="B2" s="34"/>
      <c r="C2" s="34"/>
      <c r="D2" s="34"/>
      <c r="E2" s="34"/>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row>
    <row r="3" spans="1:50" ht="15" customHeight="1" x14ac:dyDescent="0.25">
      <c r="A3" s="72" t="s">
        <v>178</v>
      </c>
      <c r="B3" s="72"/>
      <c r="C3" s="72"/>
      <c r="D3" s="72"/>
      <c r="E3" s="72"/>
      <c r="F3" s="19"/>
      <c r="G3" s="19"/>
      <c r="H3" s="19"/>
      <c r="I3" s="19"/>
      <c r="J3" s="19"/>
      <c r="K3" s="19"/>
      <c r="L3" s="19"/>
      <c r="M3" s="19"/>
      <c r="N3" s="19"/>
      <c r="O3" s="19"/>
      <c r="P3" s="19"/>
      <c r="Q3" s="19"/>
      <c r="R3" s="19"/>
      <c r="S3" s="19"/>
      <c r="T3" s="19"/>
      <c r="U3" s="21"/>
      <c r="V3" s="19"/>
      <c r="W3" s="19"/>
      <c r="X3" s="19"/>
      <c r="Y3" s="19"/>
      <c r="Z3" s="19"/>
      <c r="AA3" s="19"/>
      <c r="AB3" s="19"/>
      <c r="AC3" s="19"/>
      <c r="AD3" s="19"/>
      <c r="AE3" s="19"/>
      <c r="AF3" s="19"/>
      <c r="AG3" s="19"/>
      <c r="AH3" s="19"/>
      <c r="AI3" s="19"/>
      <c r="AJ3" s="19"/>
      <c r="AK3" s="19"/>
      <c r="AL3" s="19"/>
      <c r="AM3" s="19"/>
      <c r="AN3" s="19"/>
      <c r="AO3" s="19"/>
      <c r="AP3" s="19"/>
      <c r="AQ3" s="19"/>
      <c r="AR3" s="19"/>
      <c r="AS3" s="19"/>
      <c r="AT3" s="19"/>
      <c r="AU3" s="19"/>
      <c r="AV3" s="19"/>
      <c r="AW3" s="19"/>
      <c r="AX3" s="19"/>
    </row>
    <row r="4" spans="1:50" ht="15" customHeight="1" x14ac:dyDescent="0.25">
      <c r="A4" s="72"/>
      <c r="B4" s="72"/>
      <c r="C4" s="72"/>
      <c r="D4" s="72"/>
      <c r="E4" s="72"/>
      <c r="F4" s="19"/>
      <c r="G4" s="19"/>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row>
    <row r="5" spans="1:50" ht="15" customHeight="1" x14ac:dyDescent="0.25">
      <c r="A5" s="72"/>
      <c r="B5" s="72"/>
      <c r="C5" s="72"/>
      <c r="D5" s="72"/>
      <c r="E5" s="72"/>
      <c r="F5" s="19"/>
      <c r="G5" s="19"/>
      <c r="H5" s="19"/>
      <c r="I5" s="19"/>
      <c r="J5" s="19"/>
      <c r="K5" s="19"/>
      <c r="L5" s="19"/>
      <c r="M5" s="19"/>
      <c r="N5" s="19"/>
      <c r="O5" s="19"/>
      <c r="P5" s="19"/>
      <c r="Q5" s="19"/>
      <c r="R5" s="19"/>
      <c r="S5" s="19"/>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row>
    <row r="6" spans="1:50" ht="15" customHeight="1" x14ac:dyDescent="0.25">
      <c r="A6" s="75" t="s">
        <v>179</v>
      </c>
      <c r="B6" s="75"/>
      <c r="C6" s="75"/>
      <c r="D6" s="75"/>
      <c r="E6" s="75"/>
      <c r="F6" s="19"/>
      <c r="G6" s="19"/>
      <c r="H6" s="19"/>
      <c r="I6" s="19"/>
      <c r="J6" s="19"/>
      <c r="K6" s="19"/>
      <c r="L6" s="19"/>
      <c r="M6" s="19"/>
      <c r="N6" s="19"/>
      <c r="O6" s="19"/>
      <c r="P6" s="19"/>
      <c r="Q6" s="19"/>
      <c r="R6" s="19"/>
      <c r="S6" s="19"/>
      <c r="T6" s="19"/>
      <c r="U6" s="19"/>
      <c r="V6" s="19"/>
      <c r="W6" s="19"/>
      <c r="X6" s="19"/>
      <c r="Y6" s="19"/>
      <c r="Z6" s="19"/>
      <c r="AA6" s="19"/>
      <c r="AB6" s="19"/>
      <c r="AC6" s="19"/>
      <c r="AD6" s="19"/>
      <c r="AE6" s="19"/>
      <c r="AF6" s="19"/>
      <c r="AG6" s="19"/>
      <c r="AH6" s="19"/>
      <c r="AI6" s="19"/>
      <c r="AJ6" s="19"/>
      <c r="AK6" s="19"/>
      <c r="AL6" s="19"/>
      <c r="AM6" s="19"/>
      <c r="AN6" s="19"/>
      <c r="AO6" s="19"/>
      <c r="AP6" s="19"/>
      <c r="AQ6" s="19"/>
      <c r="AR6" s="19"/>
      <c r="AS6" s="19"/>
      <c r="AT6" s="19"/>
      <c r="AU6" s="19"/>
      <c r="AV6" s="19"/>
      <c r="AW6" s="19"/>
      <c r="AX6" s="19"/>
    </row>
    <row r="7" spans="1:50" ht="15" customHeight="1" x14ac:dyDescent="0.25">
      <c r="A7" s="75"/>
      <c r="B7" s="75"/>
      <c r="C7" s="75"/>
      <c r="D7" s="75"/>
      <c r="E7" s="75"/>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c r="AX7" s="19"/>
    </row>
    <row r="8" spans="1:50" x14ac:dyDescent="0.25">
      <c r="A8" s="75"/>
      <c r="B8" s="75"/>
      <c r="C8" s="75"/>
      <c r="D8" s="75"/>
      <c r="E8" s="75"/>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19"/>
      <c r="AN8" s="19"/>
      <c r="AO8" s="19"/>
      <c r="AP8" s="19"/>
      <c r="AQ8" s="19"/>
      <c r="AR8" s="19"/>
      <c r="AS8" s="19"/>
      <c r="AT8" s="19"/>
      <c r="AU8" s="19"/>
      <c r="AV8" s="19"/>
      <c r="AW8" s="19"/>
      <c r="AX8" s="19"/>
    </row>
    <row r="9" spans="1:50" ht="15" customHeight="1" x14ac:dyDescent="0.25">
      <c r="A9" s="73" t="s">
        <v>180</v>
      </c>
      <c r="B9" s="73"/>
      <c r="C9" s="73"/>
      <c r="D9" s="73"/>
      <c r="E9" s="73"/>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row>
    <row r="10" spans="1:50" ht="15" customHeight="1" x14ac:dyDescent="0.25">
      <c r="A10" s="73"/>
      <c r="B10" s="73"/>
      <c r="C10" s="73"/>
      <c r="D10" s="73"/>
      <c r="E10" s="73"/>
      <c r="F10" s="19"/>
      <c r="G10" s="19"/>
      <c r="H10" s="19"/>
      <c r="I10" s="19"/>
      <c r="J10" s="19"/>
      <c r="K10" s="19"/>
      <c r="L10" s="19"/>
      <c r="M10" s="19"/>
      <c r="N10" s="19"/>
      <c r="O10" s="19"/>
      <c r="P10" s="19"/>
      <c r="Q10" s="19"/>
      <c r="R10" s="19"/>
      <c r="S10" s="19"/>
      <c r="T10" s="19"/>
      <c r="U10" s="19"/>
      <c r="V10" s="19"/>
      <c r="W10" s="19"/>
      <c r="X10" s="19"/>
      <c r="Y10" s="19"/>
      <c r="Z10" s="19"/>
      <c r="AA10" s="19"/>
      <c r="AB10" s="19"/>
      <c r="AC10" s="19"/>
      <c r="AD10" s="19"/>
      <c r="AE10" s="19"/>
      <c r="AF10" s="19"/>
      <c r="AG10" s="19"/>
      <c r="AH10" s="19"/>
      <c r="AI10" s="19"/>
      <c r="AJ10" s="19"/>
      <c r="AK10" s="19"/>
      <c r="AL10" s="19"/>
      <c r="AM10" s="19"/>
      <c r="AN10" s="19"/>
      <c r="AO10" s="19"/>
      <c r="AP10" s="19"/>
      <c r="AQ10" s="19"/>
      <c r="AR10" s="19"/>
      <c r="AS10" s="19"/>
      <c r="AT10" s="19"/>
      <c r="AU10" s="19"/>
      <c r="AV10" s="19"/>
      <c r="AW10" s="19"/>
      <c r="AX10" s="19"/>
    </row>
    <row r="11" spans="1:50" ht="15" customHeight="1" x14ac:dyDescent="0.25">
      <c r="A11" s="35"/>
      <c r="B11" s="35"/>
      <c r="C11" s="35"/>
      <c r="D11" s="35"/>
      <c r="E11" s="35"/>
      <c r="F11" s="19"/>
      <c r="G11" s="19"/>
      <c r="H11" s="19"/>
      <c r="I11" s="19"/>
      <c r="J11" s="19"/>
      <c r="K11" s="19"/>
      <c r="L11" s="19"/>
      <c r="M11" s="19"/>
      <c r="N11" s="19"/>
      <c r="O11" s="19"/>
      <c r="P11" s="19"/>
      <c r="Q11" s="19"/>
      <c r="R11" s="19"/>
      <c r="S11" s="19"/>
      <c r="T11" s="19"/>
      <c r="U11" s="19"/>
      <c r="V11" s="19"/>
      <c r="W11" s="19"/>
      <c r="X11" s="19"/>
      <c r="Y11" s="19"/>
      <c r="Z11" s="19"/>
      <c r="AA11" s="19"/>
      <c r="AB11" s="19"/>
      <c r="AC11" s="19"/>
      <c r="AD11" s="19"/>
      <c r="AE11" s="19"/>
      <c r="AF11" s="19"/>
      <c r="AG11" s="19"/>
      <c r="AH11" s="19"/>
      <c r="AI11" s="19"/>
      <c r="AJ11" s="19"/>
      <c r="AK11" s="19"/>
      <c r="AL11" s="19"/>
      <c r="AM11" s="19"/>
      <c r="AN11" s="19"/>
      <c r="AO11" s="19"/>
      <c r="AP11" s="19"/>
      <c r="AQ11" s="19"/>
      <c r="AR11" s="19"/>
      <c r="AS11" s="19"/>
      <c r="AT11" s="19"/>
      <c r="AU11" s="19"/>
      <c r="AV11" s="19"/>
      <c r="AW11" s="19"/>
      <c r="AX11" s="19"/>
    </row>
    <row r="12" spans="1:50" ht="15" customHeight="1" x14ac:dyDescent="0.25">
      <c r="A12" s="20"/>
      <c r="B12" s="20"/>
      <c r="C12" s="20"/>
      <c r="D12" s="20"/>
      <c r="E12" s="20"/>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row>
    <row r="13" spans="1:50" x14ac:dyDescent="0.25">
      <c r="A13" s="20"/>
      <c r="B13" s="20"/>
      <c r="C13" s="20"/>
      <c r="D13" s="20"/>
      <c r="E13" s="20"/>
      <c r="F13" s="19"/>
      <c r="G13" s="19"/>
      <c r="H13" s="19"/>
      <c r="I13" s="19"/>
      <c r="J13" s="19"/>
      <c r="K13" s="19"/>
      <c r="L13" s="19"/>
      <c r="M13" s="19"/>
      <c r="N13" s="19"/>
      <c r="O13" s="19"/>
      <c r="P13" s="19"/>
      <c r="Q13" s="19"/>
      <c r="R13" s="19"/>
      <c r="S13" s="19"/>
      <c r="T13" s="19"/>
      <c r="U13" s="19"/>
      <c r="V13" s="19"/>
      <c r="W13" s="19"/>
      <c r="X13" s="19"/>
      <c r="Y13" s="19"/>
      <c r="Z13" s="19"/>
      <c r="AA13" s="19"/>
      <c r="AB13" s="19"/>
      <c r="AC13" s="19"/>
      <c r="AD13" s="19"/>
      <c r="AE13" s="19"/>
      <c r="AF13" s="19"/>
      <c r="AG13" s="19"/>
      <c r="AH13" s="19"/>
      <c r="AI13" s="19"/>
      <c r="AJ13" s="19"/>
      <c r="AK13" s="19"/>
      <c r="AL13" s="19"/>
      <c r="AM13" s="19"/>
      <c r="AN13" s="19"/>
      <c r="AO13" s="19"/>
      <c r="AP13" s="19"/>
      <c r="AQ13" s="19"/>
      <c r="AR13" s="19"/>
      <c r="AS13" s="19"/>
      <c r="AT13" s="19"/>
      <c r="AU13" s="19"/>
      <c r="AV13" s="19"/>
      <c r="AW13" s="19"/>
      <c r="AX13" s="19"/>
    </row>
    <row r="14" spans="1:50" x14ac:dyDescent="0.25">
      <c r="A14" s="20"/>
      <c r="B14" s="20"/>
      <c r="C14" s="20"/>
      <c r="D14" s="20"/>
      <c r="E14" s="20"/>
      <c r="F14" s="19"/>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19"/>
      <c r="AK14" s="19"/>
      <c r="AL14" s="19"/>
      <c r="AM14" s="19"/>
      <c r="AN14" s="19"/>
      <c r="AO14" s="19"/>
      <c r="AP14" s="19"/>
      <c r="AQ14" s="19"/>
      <c r="AR14" s="19"/>
      <c r="AS14" s="19"/>
      <c r="AT14" s="19"/>
      <c r="AU14" s="19"/>
      <c r="AV14" s="19"/>
      <c r="AW14" s="19"/>
      <c r="AX14" s="19"/>
    </row>
    <row r="15" spans="1:50" x14ac:dyDescent="0.25">
      <c r="A15" s="20"/>
      <c r="B15" s="20"/>
      <c r="C15" s="20"/>
      <c r="D15" s="20"/>
      <c r="E15" s="20"/>
      <c r="F15" s="19"/>
      <c r="G15" s="22"/>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19"/>
      <c r="AJ15" s="19"/>
      <c r="AK15" s="19"/>
      <c r="AL15" s="19"/>
      <c r="AM15" s="19"/>
      <c r="AN15" s="19"/>
      <c r="AO15" s="19"/>
      <c r="AP15" s="19"/>
      <c r="AQ15" s="19"/>
      <c r="AR15" s="19"/>
      <c r="AS15" s="19"/>
      <c r="AT15" s="19"/>
      <c r="AU15" s="19"/>
      <c r="AV15" s="19"/>
      <c r="AW15" s="19"/>
      <c r="AX15" s="19"/>
    </row>
    <row r="16" spans="1:50" x14ac:dyDescent="0.25">
      <c r="A16" s="20"/>
      <c r="B16" s="20"/>
      <c r="C16" s="20"/>
      <c r="D16" s="20"/>
      <c r="E16" s="20"/>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19"/>
      <c r="AJ16" s="19"/>
      <c r="AK16" s="19"/>
      <c r="AL16" s="19"/>
      <c r="AM16" s="19"/>
      <c r="AN16" s="19"/>
      <c r="AO16" s="19"/>
      <c r="AP16" s="19"/>
      <c r="AQ16" s="19"/>
      <c r="AR16" s="19"/>
      <c r="AS16" s="19"/>
      <c r="AT16" s="19"/>
      <c r="AU16" s="19"/>
      <c r="AV16" s="19"/>
      <c r="AW16" s="19"/>
      <c r="AX16" s="19"/>
    </row>
    <row r="17" spans="1:50" x14ac:dyDescent="0.25">
      <c r="A17" s="20"/>
      <c r="B17" s="20"/>
      <c r="C17" s="20"/>
      <c r="D17" s="20"/>
      <c r="E17" s="20"/>
      <c r="F17" s="19"/>
      <c r="G17" s="19"/>
      <c r="H17" s="19"/>
      <c r="I17" s="19"/>
      <c r="J17" s="19"/>
      <c r="K17" s="19"/>
      <c r="L17" s="19"/>
      <c r="M17" s="19"/>
      <c r="N17" s="19"/>
      <c r="O17" s="19"/>
      <c r="P17" s="19"/>
      <c r="Q17" s="19"/>
      <c r="R17" s="19"/>
      <c r="S17" s="19"/>
      <c r="T17" s="19"/>
      <c r="U17" s="19"/>
      <c r="V17" s="19"/>
      <c r="W17" s="19"/>
      <c r="X17" s="19"/>
      <c r="Y17" s="19"/>
      <c r="Z17" s="19"/>
      <c r="AA17" s="19"/>
      <c r="AB17" s="19"/>
      <c r="AC17" s="19"/>
      <c r="AD17" s="19"/>
      <c r="AE17" s="19"/>
      <c r="AF17" s="19"/>
      <c r="AG17" s="19"/>
      <c r="AH17" s="19"/>
      <c r="AI17" s="19"/>
      <c r="AJ17" s="19"/>
      <c r="AK17" s="19"/>
      <c r="AL17" s="19"/>
      <c r="AM17" s="19"/>
      <c r="AN17" s="19"/>
      <c r="AO17" s="19"/>
      <c r="AP17" s="19"/>
      <c r="AQ17" s="19"/>
      <c r="AR17" s="19"/>
      <c r="AS17" s="19"/>
      <c r="AT17" s="19"/>
      <c r="AU17" s="19"/>
      <c r="AV17" s="19"/>
      <c r="AW17" s="19"/>
      <c r="AX17" s="19"/>
    </row>
    <row r="18" spans="1:50" x14ac:dyDescent="0.25">
      <c r="A18" s="20"/>
      <c r="B18" s="20"/>
      <c r="C18" s="20"/>
      <c r="D18" s="20"/>
      <c r="E18" s="20"/>
      <c r="F18" s="19"/>
      <c r="G18" s="19"/>
      <c r="H18" s="19"/>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c r="AJ18" s="19"/>
      <c r="AK18" s="19"/>
      <c r="AL18" s="19"/>
      <c r="AM18" s="19"/>
      <c r="AN18" s="19"/>
      <c r="AO18" s="19"/>
      <c r="AP18" s="19"/>
      <c r="AQ18" s="19"/>
      <c r="AR18" s="19"/>
      <c r="AS18" s="19"/>
      <c r="AT18" s="19"/>
      <c r="AU18" s="19"/>
      <c r="AV18" s="19"/>
      <c r="AW18" s="19"/>
      <c r="AX18" s="19"/>
    </row>
    <row r="19" spans="1:50" x14ac:dyDescent="0.25">
      <c r="A19" s="20"/>
      <c r="B19" s="20"/>
      <c r="C19" s="20"/>
      <c r="D19" s="20"/>
      <c r="E19" s="20"/>
      <c r="F19" s="19"/>
      <c r="G19" s="19"/>
      <c r="H19" s="19"/>
      <c r="I19" s="19"/>
      <c r="J19" s="19"/>
      <c r="K19" s="19"/>
      <c r="L19" s="19"/>
      <c r="M19" s="19"/>
      <c r="N19" s="19"/>
      <c r="O19" s="19"/>
      <c r="P19" s="19"/>
      <c r="Q19" s="19"/>
      <c r="R19" s="19"/>
      <c r="S19" s="19"/>
      <c r="T19" s="19"/>
      <c r="U19" s="19"/>
      <c r="V19" s="19"/>
      <c r="W19" s="19"/>
      <c r="X19" s="19"/>
      <c r="Y19" s="19"/>
      <c r="Z19" s="19"/>
      <c r="AA19" s="19"/>
      <c r="AB19" s="19"/>
      <c r="AC19" s="19"/>
      <c r="AD19" s="19"/>
      <c r="AE19" s="19"/>
      <c r="AF19" s="19"/>
      <c r="AG19" s="19"/>
      <c r="AH19" s="19"/>
      <c r="AI19" s="19"/>
      <c r="AJ19" s="19"/>
      <c r="AK19" s="19"/>
      <c r="AL19" s="19"/>
      <c r="AM19" s="19"/>
      <c r="AN19" s="19"/>
      <c r="AO19" s="19"/>
      <c r="AP19" s="19"/>
      <c r="AQ19" s="19"/>
      <c r="AR19" s="19"/>
      <c r="AS19" s="19"/>
      <c r="AT19" s="19"/>
      <c r="AU19" s="19"/>
      <c r="AV19" s="19"/>
      <c r="AW19" s="19"/>
      <c r="AX19" s="19"/>
    </row>
    <row r="20" spans="1:50" x14ac:dyDescent="0.25">
      <c r="A20" s="20"/>
      <c r="B20" s="20"/>
      <c r="C20" s="20"/>
      <c r="D20" s="20"/>
      <c r="E20" s="20"/>
      <c r="F20" s="19"/>
      <c r="G20" s="19"/>
      <c r="H20" s="19"/>
      <c r="I20" s="19"/>
      <c r="J20" s="19"/>
      <c r="K20" s="19"/>
      <c r="L20" s="19"/>
      <c r="M20" s="19"/>
      <c r="N20" s="19"/>
      <c r="O20" s="19"/>
      <c r="P20" s="19"/>
      <c r="Q20" s="19"/>
      <c r="R20" s="19"/>
      <c r="S20" s="19"/>
      <c r="T20" s="19"/>
      <c r="U20" s="19"/>
      <c r="V20" s="19"/>
      <c r="W20" s="19"/>
      <c r="X20" s="19"/>
      <c r="Y20" s="19"/>
      <c r="Z20" s="19"/>
      <c r="AA20" s="19"/>
      <c r="AB20" s="19"/>
      <c r="AC20" s="19"/>
      <c r="AD20" s="19"/>
      <c r="AE20" s="19"/>
      <c r="AF20" s="19"/>
      <c r="AG20" s="19"/>
      <c r="AH20" s="19"/>
      <c r="AI20" s="19"/>
      <c r="AJ20" s="19"/>
      <c r="AK20" s="19"/>
      <c r="AL20" s="19"/>
      <c r="AM20" s="19"/>
      <c r="AN20" s="19"/>
      <c r="AO20" s="19"/>
      <c r="AP20" s="19"/>
      <c r="AQ20" s="19"/>
      <c r="AR20" s="19"/>
      <c r="AS20" s="19"/>
      <c r="AT20" s="19"/>
      <c r="AU20" s="19"/>
      <c r="AV20" s="19"/>
      <c r="AW20" s="19"/>
      <c r="AX20" s="19"/>
    </row>
    <row r="21" spans="1:50" ht="15" customHeight="1" x14ac:dyDescent="0.25">
      <c r="A21" s="20"/>
      <c r="B21" s="20"/>
      <c r="C21" s="20"/>
      <c r="D21" s="20"/>
      <c r="E21" s="20"/>
      <c r="F21" s="19"/>
      <c r="G21" s="19"/>
      <c r="H21" s="19"/>
      <c r="I21" s="19"/>
      <c r="J21" s="19"/>
      <c r="K21" s="19"/>
      <c r="L21" s="19"/>
      <c r="M21" s="19"/>
      <c r="N21" s="19"/>
      <c r="O21" s="19"/>
      <c r="P21" s="19"/>
      <c r="Q21" s="19"/>
      <c r="R21" s="19"/>
      <c r="S21" s="19"/>
      <c r="T21" s="19"/>
      <c r="U21" s="19"/>
      <c r="V21" s="19"/>
      <c r="W21" s="19"/>
      <c r="X21" s="19"/>
      <c r="Y21" s="74" t="s">
        <v>183</v>
      </c>
      <c r="Z21" s="74"/>
      <c r="AA21" s="74"/>
      <c r="AB21" s="70" t="s">
        <v>184</v>
      </c>
      <c r="AC21" s="70"/>
      <c r="AD21" s="70"/>
      <c r="AE21" s="70" t="s">
        <v>137</v>
      </c>
      <c r="AF21" s="70"/>
      <c r="AG21" s="70"/>
      <c r="AH21" s="70"/>
      <c r="AI21" s="70"/>
      <c r="AJ21" s="70"/>
      <c r="AK21" s="70" t="s">
        <v>185</v>
      </c>
      <c r="AL21" s="70"/>
      <c r="AM21" s="70"/>
      <c r="AN21" s="70"/>
      <c r="AO21" s="19"/>
      <c r="AP21" s="19"/>
      <c r="AQ21" s="19"/>
      <c r="AR21" s="19"/>
      <c r="AS21" s="19"/>
      <c r="AT21" s="19"/>
      <c r="AU21" s="19"/>
      <c r="AV21" s="19"/>
      <c r="AW21" s="19"/>
      <c r="AX21" s="19"/>
    </row>
    <row r="22" spans="1:50" ht="15" customHeight="1" x14ac:dyDescent="0.25">
      <c r="A22" s="20"/>
      <c r="B22" s="20"/>
      <c r="C22" s="20"/>
      <c r="D22" s="20"/>
      <c r="E22" s="20"/>
      <c r="F22" s="19"/>
      <c r="G22" s="19"/>
      <c r="H22" s="19"/>
      <c r="I22" s="19"/>
      <c r="J22" s="19"/>
      <c r="K22" s="19"/>
      <c r="L22" s="19"/>
      <c r="M22" s="19"/>
      <c r="N22" s="19"/>
      <c r="O22" s="19"/>
      <c r="P22" s="19"/>
      <c r="Q22" s="19"/>
      <c r="R22" s="19"/>
      <c r="S22" s="19"/>
      <c r="T22" s="19"/>
      <c r="U22" s="19"/>
      <c r="V22" s="19"/>
      <c r="W22" s="19"/>
      <c r="X22" s="19"/>
      <c r="Y22" s="74"/>
      <c r="Z22" s="74"/>
      <c r="AA22" s="74"/>
      <c r="AB22" s="70"/>
      <c r="AC22" s="70"/>
      <c r="AD22" s="70"/>
      <c r="AE22" s="70"/>
      <c r="AF22" s="70"/>
      <c r="AG22" s="70"/>
      <c r="AH22" s="70"/>
      <c r="AI22" s="70"/>
      <c r="AJ22" s="70"/>
      <c r="AK22" s="70"/>
      <c r="AL22" s="70"/>
      <c r="AM22" s="70"/>
      <c r="AN22" s="70"/>
      <c r="AO22" s="19"/>
      <c r="AP22" s="19"/>
      <c r="AQ22" s="19"/>
      <c r="AR22" s="19"/>
      <c r="AS22" s="19"/>
      <c r="AT22" s="19"/>
      <c r="AU22" s="19"/>
      <c r="AV22" s="19"/>
      <c r="AW22" s="19"/>
      <c r="AX22" s="19"/>
    </row>
    <row r="23" spans="1:50" ht="15" customHeight="1" x14ac:dyDescent="0.25">
      <c r="A23" s="20"/>
      <c r="B23" s="20"/>
      <c r="C23" s="20"/>
      <c r="D23" s="20"/>
      <c r="E23" s="20"/>
      <c r="F23" s="19"/>
      <c r="G23" s="19"/>
      <c r="H23" s="19"/>
      <c r="I23" s="19"/>
      <c r="J23" s="19"/>
      <c r="K23" s="19"/>
      <c r="L23" s="19"/>
      <c r="M23" s="19"/>
      <c r="N23" s="19"/>
      <c r="O23" s="19"/>
      <c r="P23" s="19"/>
      <c r="Q23" s="19"/>
      <c r="R23" s="19"/>
      <c r="S23" s="19"/>
      <c r="T23" s="19"/>
      <c r="U23" s="19"/>
      <c r="V23" s="19"/>
      <c r="W23" s="19"/>
      <c r="X23" s="19"/>
      <c r="Y23" s="74"/>
      <c r="Z23" s="74"/>
      <c r="AA23" s="74"/>
      <c r="AB23" s="70"/>
      <c r="AC23" s="70"/>
      <c r="AD23" s="70"/>
      <c r="AE23" s="70"/>
      <c r="AF23" s="70"/>
      <c r="AG23" s="70"/>
      <c r="AH23" s="70"/>
      <c r="AI23" s="70"/>
      <c r="AJ23" s="70"/>
      <c r="AK23" s="70"/>
      <c r="AL23" s="70"/>
      <c r="AM23" s="70"/>
      <c r="AN23" s="70"/>
      <c r="AO23" s="19"/>
      <c r="AP23" s="19"/>
      <c r="AQ23" s="19"/>
      <c r="AR23" s="19"/>
      <c r="AS23" s="19"/>
      <c r="AT23" s="19"/>
      <c r="AU23" s="19"/>
      <c r="AV23" s="19"/>
      <c r="AW23" s="19"/>
      <c r="AX23" s="19"/>
    </row>
    <row r="24" spans="1:50" ht="15" customHeight="1" x14ac:dyDescent="0.25">
      <c r="A24" s="20"/>
      <c r="B24" s="20"/>
      <c r="C24" s="20"/>
      <c r="D24" s="20"/>
      <c r="E24" s="20"/>
      <c r="F24" s="19"/>
      <c r="G24" s="19"/>
      <c r="H24" s="19"/>
      <c r="I24" s="19"/>
      <c r="J24" s="19"/>
      <c r="K24" s="19"/>
      <c r="L24" s="19"/>
      <c r="M24" s="19"/>
      <c r="N24" s="19"/>
      <c r="O24" s="19"/>
      <c r="P24" s="19"/>
      <c r="Q24" s="19"/>
      <c r="R24" s="19"/>
      <c r="S24" s="19"/>
      <c r="T24" s="19"/>
      <c r="U24" s="19"/>
      <c r="V24" s="19"/>
      <c r="W24" s="19"/>
      <c r="X24" s="19"/>
      <c r="Y24" s="74"/>
      <c r="Z24" s="74"/>
      <c r="AA24" s="74"/>
      <c r="AB24" s="71"/>
      <c r="AC24" s="71"/>
      <c r="AD24" s="71"/>
      <c r="AE24" s="71"/>
      <c r="AF24" s="71"/>
      <c r="AG24" s="71"/>
      <c r="AH24" s="71"/>
      <c r="AI24" s="71"/>
      <c r="AJ24" s="71"/>
      <c r="AK24" s="70"/>
      <c r="AL24" s="70"/>
      <c r="AM24" s="70"/>
      <c r="AN24" s="70"/>
      <c r="AO24" s="19"/>
      <c r="AP24" s="19"/>
      <c r="AQ24" s="19"/>
      <c r="AR24" s="19"/>
      <c r="AS24" s="19"/>
      <c r="AT24" s="19"/>
      <c r="AU24" s="19"/>
      <c r="AV24" s="19"/>
      <c r="AW24" s="19"/>
      <c r="AX24" s="19"/>
    </row>
    <row r="25" spans="1:50" x14ac:dyDescent="0.25">
      <c r="A25" s="20"/>
      <c r="B25" s="20"/>
      <c r="C25" s="20"/>
      <c r="D25" s="20"/>
      <c r="E25" s="20"/>
      <c r="F25" s="19"/>
      <c r="G25" s="19"/>
      <c r="H25" s="19"/>
      <c r="I25" s="19"/>
      <c r="J25" s="19"/>
      <c r="K25" s="19"/>
      <c r="L25" s="19"/>
      <c r="M25" s="19"/>
      <c r="N25" s="19"/>
      <c r="O25" s="19"/>
      <c r="P25" s="19"/>
      <c r="Q25" s="19"/>
      <c r="R25" s="19"/>
      <c r="S25" s="19"/>
      <c r="T25" s="19"/>
      <c r="U25" s="19"/>
      <c r="V25" s="19"/>
      <c r="W25" s="19"/>
      <c r="X25" s="19"/>
      <c r="Y25" s="43" t="str">
        <f>Graficos!U22</f>
        <v>CLI-050</v>
      </c>
      <c r="Z25" s="43"/>
      <c r="AA25" s="65"/>
      <c r="AB25" s="64">
        <f>Graficos!X22</f>
        <v>2.4166666666666665</v>
      </c>
      <c r="AC25" s="43"/>
      <c r="AD25" s="65"/>
      <c r="AE25" s="55">
        <f>Graficos!W22</f>
        <v>0</v>
      </c>
      <c r="AF25" s="56"/>
      <c r="AG25" s="56"/>
      <c r="AH25" s="56"/>
      <c r="AI25" s="56"/>
      <c r="AJ25" s="57"/>
      <c r="AK25" s="43" t="str">
        <f>Graficos!V22</f>
        <v>Reforzada</v>
      </c>
      <c r="AL25" s="43"/>
      <c r="AM25" s="43"/>
      <c r="AN25" s="43"/>
      <c r="AO25" s="19"/>
      <c r="AP25" s="19"/>
      <c r="AQ25" s="19"/>
      <c r="AR25" s="19"/>
      <c r="AS25" s="19"/>
      <c r="AT25" s="19"/>
      <c r="AU25" s="19"/>
      <c r="AV25" s="19"/>
      <c r="AW25" s="19"/>
      <c r="AX25" s="19"/>
    </row>
    <row r="26" spans="1:50" x14ac:dyDescent="0.25">
      <c r="A26" s="20"/>
      <c r="B26" s="20"/>
      <c r="C26" s="20"/>
      <c r="D26" s="20"/>
      <c r="E26" s="20"/>
      <c r="F26" s="19"/>
      <c r="G26" s="19"/>
      <c r="H26" s="19"/>
      <c r="I26" s="19"/>
      <c r="J26" s="19"/>
      <c r="K26" s="19"/>
      <c r="L26" s="19"/>
      <c r="M26" s="19"/>
      <c r="N26" s="19"/>
      <c r="O26" s="19"/>
      <c r="P26" s="19"/>
      <c r="Q26" s="19"/>
      <c r="R26" s="19"/>
      <c r="S26" s="19"/>
      <c r="T26" s="19"/>
      <c r="U26" s="19"/>
      <c r="V26" s="19"/>
      <c r="W26" s="19"/>
      <c r="X26" s="19"/>
      <c r="Y26" s="44"/>
      <c r="Z26" s="44"/>
      <c r="AA26" s="67"/>
      <c r="AB26" s="66"/>
      <c r="AC26" s="44"/>
      <c r="AD26" s="67"/>
      <c r="AE26" s="58"/>
      <c r="AF26" s="59"/>
      <c r="AG26" s="59"/>
      <c r="AH26" s="59"/>
      <c r="AI26" s="59"/>
      <c r="AJ26" s="60"/>
      <c r="AK26" s="44"/>
      <c r="AL26" s="44"/>
      <c r="AM26" s="44"/>
      <c r="AN26" s="44"/>
      <c r="AO26" s="19"/>
      <c r="AP26" s="19"/>
      <c r="AQ26" s="19"/>
      <c r="AR26" s="19"/>
      <c r="AS26" s="19"/>
      <c r="AT26" s="19"/>
      <c r="AU26" s="19"/>
      <c r="AV26" s="19"/>
      <c r="AW26" s="19"/>
      <c r="AX26" s="19"/>
    </row>
    <row r="27" spans="1:50" x14ac:dyDescent="0.25">
      <c r="A27" s="20"/>
      <c r="B27" s="20"/>
      <c r="C27" s="20"/>
      <c r="D27" s="20"/>
      <c r="E27" s="20"/>
      <c r="F27" s="19"/>
      <c r="G27" s="19"/>
      <c r="H27" s="19"/>
      <c r="I27" s="19"/>
      <c r="J27" s="19"/>
      <c r="K27" s="19"/>
      <c r="L27" s="19"/>
      <c r="M27" s="19"/>
      <c r="N27" s="19"/>
      <c r="O27" s="19"/>
      <c r="P27" s="19"/>
      <c r="Q27" s="19"/>
      <c r="R27" s="19"/>
      <c r="S27" s="19"/>
      <c r="T27" s="19"/>
      <c r="U27" s="19"/>
      <c r="V27" s="19"/>
      <c r="W27" s="19"/>
      <c r="X27" s="19"/>
      <c r="Y27" s="45"/>
      <c r="Z27" s="45"/>
      <c r="AA27" s="69"/>
      <c r="AB27" s="68"/>
      <c r="AC27" s="45"/>
      <c r="AD27" s="69"/>
      <c r="AE27" s="61"/>
      <c r="AF27" s="62"/>
      <c r="AG27" s="62"/>
      <c r="AH27" s="62"/>
      <c r="AI27" s="62"/>
      <c r="AJ27" s="63"/>
      <c r="AK27" s="45"/>
      <c r="AL27" s="45"/>
      <c r="AM27" s="45"/>
      <c r="AN27" s="45"/>
      <c r="AO27" s="19"/>
      <c r="AP27" s="19"/>
      <c r="AQ27" s="19"/>
      <c r="AR27" s="19"/>
      <c r="AS27" s="19"/>
      <c r="AT27" s="19"/>
      <c r="AU27" s="19"/>
      <c r="AV27" s="19"/>
      <c r="AW27" s="19"/>
      <c r="AX27" s="19"/>
    </row>
    <row r="28" spans="1:50" ht="15" customHeight="1" x14ac:dyDescent="0.25">
      <c r="A28" s="20"/>
      <c r="B28" s="20"/>
      <c r="C28" s="20"/>
      <c r="D28" s="20"/>
      <c r="E28" s="20"/>
      <c r="F28" s="19"/>
      <c r="G28" s="19"/>
      <c r="H28" s="19"/>
      <c r="I28" s="19"/>
      <c r="J28" s="19"/>
      <c r="K28" s="19"/>
      <c r="L28" s="19"/>
      <c r="M28" s="19"/>
      <c r="N28" s="19"/>
      <c r="O28" s="19"/>
      <c r="P28" s="19"/>
      <c r="Q28" s="19"/>
      <c r="R28" s="19"/>
      <c r="S28" s="19"/>
      <c r="T28" s="19"/>
      <c r="U28" s="19"/>
      <c r="V28" s="19"/>
      <c r="W28" s="19"/>
      <c r="X28" s="19"/>
      <c r="Y28" s="43" t="str">
        <f>Graficos!U23</f>
        <v>CLI-049</v>
      </c>
      <c r="Z28" s="43"/>
      <c r="AA28" s="65"/>
      <c r="AB28" s="64">
        <f>Graficos!X23</f>
        <v>2.3166666666666664</v>
      </c>
      <c r="AC28" s="43"/>
      <c r="AD28" s="65"/>
      <c r="AE28" s="55">
        <f>Graficos!W23</f>
        <v>0</v>
      </c>
      <c r="AF28" s="56"/>
      <c r="AG28" s="56"/>
      <c r="AH28" s="56"/>
      <c r="AI28" s="56"/>
      <c r="AJ28" s="57"/>
      <c r="AK28" s="43" t="str">
        <f>Graficos!V23</f>
        <v>Reforzada</v>
      </c>
      <c r="AL28" s="43"/>
      <c r="AM28" s="43"/>
      <c r="AN28" s="43"/>
      <c r="AO28" s="19"/>
      <c r="AP28" s="19"/>
      <c r="AQ28" s="19"/>
      <c r="AR28" s="19"/>
      <c r="AS28" s="19"/>
      <c r="AT28" s="19"/>
      <c r="AU28" s="19"/>
      <c r="AV28" s="19"/>
      <c r="AW28" s="19"/>
      <c r="AX28" s="19"/>
    </row>
    <row r="29" spans="1:50" ht="15" customHeight="1" x14ac:dyDescent="0.25">
      <c r="A29" s="20"/>
      <c r="B29" s="20"/>
      <c r="C29" s="20"/>
      <c r="D29" s="20"/>
      <c r="E29" s="20"/>
      <c r="F29" s="19"/>
      <c r="G29" s="19"/>
      <c r="H29" s="19"/>
      <c r="I29" s="19"/>
      <c r="J29" s="19"/>
      <c r="K29" s="19"/>
      <c r="L29" s="19"/>
      <c r="M29" s="19"/>
      <c r="N29" s="19"/>
      <c r="O29" s="19"/>
      <c r="P29" s="19"/>
      <c r="Q29" s="19"/>
      <c r="R29" s="19"/>
      <c r="S29" s="19"/>
      <c r="T29" s="19"/>
      <c r="U29" s="19"/>
      <c r="V29" s="19"/>
      <c r="W29" s="19"/>
      <c r="X29" s="19"/>
      <c r="Y29" s="44"/>
      <c r="Z29" s="44"/>
      <c r="AA29" s="67"/>
      <c r="AB29" s="66"/>
      <c r="AC29" s="44"/>
      <c r="AD29" s="67"/>
      <c r="AE29" s="58"/>
      <c r="AF29" s="59"/>
      <c r="AG29" s="59"/>
      <c r="AH29" s="59"/>
      <c r="AI29" s="59"/>
      <c r="AJ29" s="60"/>
      <c r="AK29" s="44"/>
      <c r="AL29" s="44"/>
      <c r="AM29" s="44"/>
      <c r="AN29" s="44"/>
      <c r="AO29" s="19"/>
      <c r="AP29" s="19"/>
      <c r="AQ29" s="19"/>
      <c r="AR29" s="19"/>
      <c r="AS29" s="19"/>
      <c r="AT29" s="19"/>
      <c r="AU29" s="19"/>
      <c r="AV29" s="19"/>
      <c r="AW29" s="19"/>
      <c r="AX29" s="19"/>
    </row>
    <row r="30" spans="1:50" ht="15" customHeight="1" x14ac:dyDescent="0.25">
      <c r="A30" s="20"/>
      <c r="B30" s="20"/>
      <c r="C30" s="20"/>
      <c r="D30" s="20"/>
      <c r="E30" s="20"/>
      <c r="F30" s="19"/>
      <c r="G30" s="19"/>
      <c r="H30" s="19"/>
      <c r="I30" s="19"/>
      <c r="J30" s="19"/>
      <c r="K30" s="19"/>
      <c r="L30" s="19"/>
      <c r="M30" s="19"/>
      <c r="N30" s="19"/>
      <c r="O30" s="19"/>
      <c r="P30" s="19"/>
      <c r="Q30" s="19"/>
      <c r="R30" s="19"/>
      <c r="S30" s="19"/>
      <c r="T30" s="19"/>
      <c r="U30" s="19"/>
      <c r="V30" s="19"/>
      <c r="W30" s="19"/>
      <c r="X30" s="19"/>
      <c r="Y30" s="45"/>
      <c r="Z30" s="45"/>
      <c r="AA30" s="69"/>
      <c r="AB30" s="68"/>
      <c r="AC30" s="45"/>
      <c r="AD30" s="69"/>
      <c r="AE30" s="61"/>
      <c r="AF30" s="62"/>
      <c r="AG30" s="62"/>
      <c r="AH30" s="62"/>
      <c r="AI30" s="62"/>
      <c r="AJ30" s="63"/>
      <c r="AK30" s="45"/>
      <c r="AL30" s="45"/>
      <c r="AM30" s="45"/>
      <c r="AN30" s="45"/>
      <c r="AO30" s="19"/>
      <c r="AP30" s="19"/>
      <c r="AQ30" s="19"/>
      <c r="AR30" s="19"/>
      <c r="AS30" s="19"/>
      <c r="AT30" s="19"/>
      <c r="AU30" s="19"/>
      <c r="AV30" s="19"/>
      <c r="AW30" s="19"/>
      <c r="AX30" s="19"/>
    </row>
    <row r="31" spans="1:50" ht="15" customHeight="1" x14ac:dyDescent="0.25">
      <c r="A31" s="20"/>
      <c r="B31" s="20"/>
      <c r="C31" s="20"/>
      <c r="D31" s="20"/>
      <c r="E31" s="20"/>
      <c r="F31" s="19"/>
      <c r="G31" s="19"/>
      <c r="H31" s="19"/>
      <c r="I31" s="19"/>
      <c r="J31" s="19"/>
      <c r="K31" s="19"/>
      <c r="L31" s="19"/>
      <c r="M31" s="19"/>
      <c r="N31" s="19"/>
      <c r="O31" s="19"/>
      <c r="P31" s="19"/>
      <c r="Q31" s="19"/>
      <c r="R31" s="19"/>
      <c r="S31" s="19"/>
      <c r="T31" s="19"/>
      <c r="U31" s="19"/>
      <c r="V31" s="19"/>
      <c r="W31" s="19"/>
      <c r="X31" s="19"/>
      <c r="Y31" s="43" t="str">
        <f>Graficos!U24</f>
        <v>CLI-048</v>
      </c>
      <c r="Z31" s="43"/>
      <c r="AA31" s="65"/>
      <c r="AB31" s="64">
        <f>Graficos!X24</f>
        <v>2.3166666666666664</v>
      </c>
      <c r="AC31" s="43"/>
      <c r="AD31" s="65"/>
      <c r="AE31" s="55">
        <f>Graficos!W24</f>
        <v>0</v>
      </c>
      <c r="AF31" s="56"/>
      <c r="AG31" s="56"/>
      <c r="AH31" s="56"/>
      <c r="AI31" s="56"/>
      <c r="AJ31" s="57"/>
      <c r="AK31" s="43" t="str">
        <f>Graficos!V24</f>
        <v>Reforzada</v>
      </c>
      <c r="AL31" s="43"/>
      <c r="AM31" s="43"/>
      <c r="AN31" s="43"/>
      <c r="AO31" s="19"/>
      <c r="AP31" s="19"/>
      <c r="AQ31" s="19"/>
      <c r="AR31" s="19"/>
      <c r="AS31" s="19"/>
      <c r="AT31" s="19"/>
      <c r="AU31" s="19"/>
      <c r="AV31" s="19"/>
      <c r="AW31" s="19"/>
      <c r="AX31" s="19"/>
    </row>
    <row r="32" spans="1:50" ht="15" customHeight="1" x14ac:dyDescent="0.25">
      <c r="A32" s="20"/>
      <c r="B32" s="20"/>
      <c r="C32" s="20"/>
      <c r="D32" s="20"/>
      <c r="E32" s="20"/>
      <c r="F32" s="19"/>
      <c r="G32" s="19"/>
      <c r="H32" s="19"/>
      <c r="I32" s="19"/>
      <c r="J32" s="19"/>
      <c r="K32" s="19"/>
      <c r="L32" s="19"/>
      <c r="M32" s="19"/>
      <c r="N32" s="19"/>
      <c r="O32" s="19"/>
      <c r="P32" s="19"/>
      <c r="Q32" s="19"/>
      <c r="R32" s="19"/>
      <c r="S32" s="19"/>
      <c r="T32" s="19"/>
      <c r="U32" s="19"/>
      <c r="V32" s="19"/>
      <c r="W32" s="19"/>
      <c r="X32" s="19"/>
      <c r="Y32" s="44"/>
      <c r="Z32" s="44"/>
      <c r="AA32" s="67"/>
      <c r="AB32" s="66"/>
      <c r="AC32" s="44"/>
      <c r="AD32" s="67"/>
      <c r="AE32" s="58"/>
      <c r="AF32" s="59"/>
      <c r="AG32" s="59"/>
      <c r="AH32" s="59"/>
      <c r="AI32" s="59"/>
      <c r="AJ32" s="60"/>
      <c r="AK32" s="44"/>
      <c r="AL32" s="44"/>
      <c r="AM32" s="44"/>
      <c r="AN32" s="44"/>
      <c r="AO32" s="19"/>
      <c r="AP32" s="19"/>
      <c r="AQ32" s="19"/>
      <c r="AR32" s="19"/>
      <c r="AS32" s="19"/>
      <c r="AT32" s="19"/>
      <c r="AU32" s="19"/>
      <c r="AV32" s="19"/>
      <c r="AW32" s="19"/>
      <c r="AX32" s="19"/>
    </row>
    <row r="33" spans="1:50" ht="15" customHeight="1" x14ac:dyDescent="0.25">
      <c r="A33" s="20"/>
      <c r="B33" s="20"/>
      <c r="C33" s="20"/>
      <c r="D33" s="20"/>
      <c r="E33" s="20"/>
      <c r="F33" s="19"/>
      <c r="G33" s="19"/>
      <c r="H33" s="19"/>
      <c r="I33" s="19"/>
      <c r="J33" s="19"/>
      <c r="K33" s="19"/>
      <c r="L33" s="19"/>
      <c r="M33" s="19"/>
      <c r="N33" s="19"/>
      <c r="O33" s="19"/>
      <c r="P33" s="19"/>
      <c r="Q33" s="19"/>
      <c r="R33" s="19"/>
      <c r="S33" s="19"/>
      <c r="T33" s="19"/>
      <c r="U33" s="19"/>
      <c r="V33" s="19"/>
      <c r="W33" s="19"/>
      <c r="X33" s="19"/>
      <c r="Y33" s="45"/>
      <c r="Z33" s="45"/>
      <c r="AA33" s="69"/>
      <c r="AB33" s="68"/>
      <c r="AC33" s="45"/>
      <c r="AD33" s="69"/>
      <c r="AE33" s="61"/>
      <c r="AF33" s="62"/>
      <c r="AG33" s="62"/>
      <c r="AH33" s="62"/>
      <c r="AI33" s="62"/>
      <c r="AJ33" s="63"/>
      <c r="AK33" s="45"/>
      <c r="AL33" s="45"/>
      <c r="AM33" s="45"/>
      <c r="AN33" s="45"/>
      <c r="AO33" s="19"/>
      <c r="AP33" s="19"/>
      <c r="AQ33" s="19"/>
      <c r="AR33" s="19"/>
      <c r="AS33" s="19"/>
      <c r="AT33" s="19"/>
      <c r="AU33" s="19"/>
      <c r="AV33" s="19"/>
      <c r="AW33" s="19"/>
      <c r="AX33" s="19"/>
    </row>
    <row r="34" spans="1:50" ht="15" customHeight="1" x14ac:dyDescent="0.25">
      <c r="A34" s="20"/>
      <c r="B34" s="20"/>
      <c r="C34" s="20"/>
      <c r="D34" s="20"/>
      <c r="E34" s="20"/>
      <c r="F34" s="19"/>
      <c r="G34" s="19"/>
      <c r="H34" s="19"/>
      <c r="I34" s="19"/>
      <c r="J34" s="19"/>
      <c r="K34" s="19"/>
      <c r="L34" s="19"/>
      <c r="M34" s="19"/>
      <c r="N34" s="19"/>
      <c r="O34" s="19"/>
      <c r="P34" s="19"/>
      <c r="Q34" s="19"/>
      <c r="R34" s="19"/>
      <c r="S34" s="19"/>
      <c r="T34" s="19"/>
      <c r="U34" s="19"/>
      <c r="V34" s="19"/>
      <c r="W34" s="19"/>
      <c r="X34" s="19"/>
      <c r="Y34" s="43" t="str">
        <f>Graficos!U25</f>
        <v>CLI-047</v>
      </c>
      <c r="Z34" s="43"/>
      <c r="AA34" s="65"/>
      <c r="AB34" s="64">
        <f>Graficos!X25</f>
        <v>2.5333333333333332</v>
      </c>
      <c r="AC34" s="43"/>
      <c r="AD34" s="65"/>
      <c r="AE34" s="46" t="str">
        <f>Graficos!W25</f>
        <v>Escalonamiento automático: revisar DD Reforzada</v>
      </c>
      <c r="AF34" s="47"/>
      <c r="AG34" s="47"/>
      <c r="AH34" s="47"/>
      <c r="AI34" s="47"/>
      <c r="AJ34" s="48"/>
      <c r="AK34" s="43" t="str">
        <f>Graficos!V25</f>
        <v>Reforzada</v>
      </c>
      <c r="AL34" s="43"/>
      <c r="AM34" s="43"/>
      <c r="AN34" s="43"/>
      <c r="AO34" s="19"/>
      <c r="AP34" s="19"/>
      <c r="AQ34" s="19"/>
      <c r="AR34" s="19"/>
      <c r="AS34" s="19"/>
      <c r="AT34" s="19"/>
      <c r="AU34" s="19"/>
      <c r="AV34" s="19"/>
      <c r="AW34" s="19"/>
      <c r="AX34" s="19"/>
    </row>
    <row r="35" spans="1:50" ht="15" customHeight="1" x14ac:dyDescent="0.25">
      <c r="A35" s="20"/>
      <c r="B35" s="20"/>
      <c r="C35" s="20"/>
      <c r="D35" s="20"/>
      <c r="E35" s="20"/>
      <c r="F35" s="19"/>
      <c r="G35" s="19"/>
      <c r="H35" s="19"/>
      <c r="I35" s="19"/>
      <c r="J35" s="19"/>
      <c r="K35" s="19"/>
      <c r="L35" s="19"/>
      <c r="M35" s="19"/>
      <c r="N35" s="19"/>
      <c r="O35" s="19"/>
      <c r="P35" s="19"/>
      <c r="Q35" s="19"/>
      <c r="R35" s="19"/>
      <c r="S35" s="19"/>
      <c r="T35" s="19"/>
      <c r="U35" s="19"/>
      <c r="V35" s="19"/>
      <c r="W35" s="19"/>
      <c r="X35" s="19"/>
      <c r="Y35" s="44"/>
      <c r="Z35" s="44"/>
      <c r="AA35" s="67"/>
      <c r="AB35" s="66"/>
      <c r="AC35" s="44"/>
      <c r="AD35" s="67"/>
      <c r="AE35" s="49"/>
      <c r="AF35" s="50"/>
      <c r="AG35" s="50"/>
      <c r="AH35" s="50"/>
      <c r="AI35" s="50"/>
      <c r="AJ35" s="51"/>
      <c r="AK35" s="44"/>
      <c r="AL35" s="44"/>
      <c r="AM35" s="44"/>
      <c r="AN35" s="44"/>
      <c r="AO35" s="19"/>
      <c r="AP35" s="19"/>
      <c r="AQ35" s="19"/>
      <c r="AR35" s="19"/>
      <c r="AS35" s="19"/>
      <c r="AT35" s="19"/>
      <c r="AU35" s="19"/>
      <c r="AV35" s="19"/>
      <c r="AW35" s="19"/>
      <c r="AX35" s="19"/>
    </row>
    <row r="36" spans="1:50" ht="15" customHeight="1" x14ac:dyDescent="0.25">
      <c r="A36" s="20"/>
      <c r="B36" s="20"/>
      <c r="C36" s="20"/>
      <c r="D36" s="20"/>
      <c r="E36" s="20"/>
      <c r="F36" s="19"/>
      <c r="G36" s="19"/>
      <c r="H36" s="19"/>
      <c r="I36" s="19"/>
      <c r="J36" s="19"/>
      <c r="K36" s="19"/>
      <c r="L36" s="19"/>
      <c r="M36" s="19"/>
      <c r="N36" s="19"/>
      <c r="O36" s="19"/>
      <c r="P36" s="19"/>
      <c r="Q36" s="19"/>
      <c r="R36" s="19"/>
      <c r="S36" s="19"/>
      <c r="T36" s="19"/>
      <c r="U36" s="19"/>
      <c r="V36" s="19"/>
      <c r="W36" s="19"/>
      <c r="X36" s="19"/>
      <c r="Y36" s="45"/>
      <c r="Z36" s="45"/>
      <c r="AA36" s="69"/>
      <c r="AB36" s="68"/>
      <c r="AC36" s="45"/>
      <c r="AD36" s="69"/>
      <c r="AE36" s="52"/>
      <c r="AF36" s="53"/>
      <c r="AG36" s="53"/>
      <c r="AH36" s="53"/>
      <c r="AI36" s="53"/>
      <c r="AJ36" s="54"/>
      <c r="AK36" s="45"/>
      <c r="AL36" s="45"/>
      <c r="AM36" s="45"/>
      <c r="AN36" s="45"/>
      <c r="AO36" s="19"/>
      <c r="AP36" s="19"/>
      <c r="AQ36" s="19"/>
      <c r="AR36" s="19"/>
      <c r="AS36" s="19"/>
      <c r="AT36" s="19"/>
      <c r="AU36" s="19"/>
      <c r="AV36" s="19"/>
      <c r="AW36" s="19"/>
      <c r="AX36" s="19"/>
    </row>
    <row r="37" spans="1:50" ht="15" customHeight="1" x14ac:dyDescent="0.25">
      <c r="A37" s="20"/>
      <c r="B37" s="20"/>
      <c r="C37" s="20"/>
      <c r="D37" s="20"/>
      <c r="E37" s="20"/>
      <c r="F37" s="19"/>
      <c r="G37" s="19"/>
      <c r="H37" s="19"/>
      <c r="I37" s="19"/>
      <c r="J37" s="19"/>
      <c r="K37" s="19"/>
      <c r="L37" s="19"/>
      <c r="M37" s="19"/>
      <c r="N37" s="19"/>
      <c r="O37" s="19"/>
      <c r="P37" s="19"/>
      <c r="Q37" s="19"/>
      <c r="R37" s="19"/>
      <c r="S37" s="19"/>
      <c r="T37" s="19"/>
      <c r="U37" s="19"/>
      <c r="V37" s="19"/>
      <c r="W37" s="19"/>
      <c r="X37" s="19"/>
      <c r="Y37" s="43" t="str">
        <f>Graficos!U26</f>
        <v>CLI-042</v>
      </c>
      <c r="Z37" s="43"/>
      <c r="AA37" s="65"/>
      <c r="AB37" s="64">
        <f>Graficos!X26</f>
        <v>2.1166666666666667</v>
      </c>
      <c r="AC37" s="43"/>
      <c r="AD37" s="65"/>
      <c r="AE37" s="55">
        <f>Graficos!W26</f>
        <v>0</v>
      </c>
      <c r="AF37" s="56"/>
      <c r="AG37" s="56"/>
      <c r="AH37" s="56"/>
      <c r="AI37" s="56"/>
      <c r="AJ37" s="57"/>
      <c r="AK37" s="43" t="str">
        <f>Graficos!V26</f>
        <v>Media</v>
      </c>
      <c r="AL37" s="43"/>
      <c r="AM37" s="43"/>
      <c r="AN37" s="43"/>
      <c r="AO37" s="19"/>
      <c r="AP37" s="19"/>
      <c r="AQ37" s="19"/>
      <c r="AR37" s="19"/>
      <c r="AS37" s="19"/>
      <c r="AT37" s="19"/>
      <c r="AU37" s="19"/>
      <c r="AV37" s="19"/>
      <c r="AW37" s="19"/>
      <c r="AX37" s="19"/>
    </row>
    <row r="38" spans="1:50" ht="15" customHeight="1" x14ac:dyDescent="0.25">
      <c r="A38" s="20"/>
      <c r="B38" s="20"/>
      <c r="C38" s="20"/>
      <c r="D38" s="20"/>
      <c r="E38" s="20"/>
      <c r="F38" s="19"/>
      <c r="G38" s="19"/>
      <c r="H38" s="19"/>
      <c r="I38" s="19"/>
      <c r="J38" s="19"/>
      <c r="K38" s="19"/>
      <c r="L38" s="19"/>
      <c r="M38" s="19"/>
      <c r="N38" s="19"/>
      <c r="O38" s="19"/>
      <c r="P38" s="19"/>
      <c r="Q38" s="19"/>
      <c r="R38" s="19"/>
      <c r="S38" s="19"/>
      <c r="T38" s="19"/>
      <c r="U38" s="19"/>
      <c r="V38" s="19"/>
      <c r="W38" s="19"/>
      <c r="X38" s="19"/>
      <c r="Y38" s="44"/>
      <c r="Z38" s="44"/>
      <c r="AA38" s="67"/>
      <c r="AB38" s="66"/>
      <c r="AC38" s="44"/>
      <c r="AD38" s="67"/>
      <c r="AE38" s="58"/>
      <c r="AF38" s="59"/>
      <c r="AG38" s="59"/>
      <c r="AH38" s="59"/>
      <c r="AI38" s="59"/>
      <c r="AJ38" s="60"/>
      <c r="AK38" s="44"/>
      <c r="AL38" s="44"/>
      <c r="AM38" s="44"/>
      <c r="AN38" s="44"/>
      <c r="AO38" s="19"/>
      <c r="AP38" s="19"/>
      <c r="AQ38" s="19"/>
      <c r="AR38" s="19"/>
      <c r="AS38" s="19"/>
      <c r="AT38" s="19"/>
      <c r="AU38" s="19"/>
      <c r="AV38" s="19"/>
      <c r="AW38" s="19"/>
      <c r="AX38" s="19"/>
    </row>
    <row r="39" spans="1:50" ht="15" customHeight="1" x14ac:dyDescent="0.25">
      <c r="A39" s="20"/>
      <c r="B39" s="20"/>
      <c r="C39" s="20"/>
      <c r="D39" s="20"/>
      <c r="E39" s="20"/>
      <c r="F39" s="19"/>
      <c r="G39" s="19"/>
      <c r="H39" s="19"/>
      <c r="I39" s="19"/>
      <c r="J39" s="19"/>
      <c r="K39" s="19"/>
      <c r="L39" s="19"/>
      <c r="M39" s="19"/>
      <c r="N39" s="19"/>
      <c r="O39" s="19"/>
      <c r="P39" s="19"/>
      <c r="Q39" s="19"/>
      <c r="R39" s="19"/>
      <c r="S39" s="19"/>
      <c r="T39" s="19"/>
      <c r="U39" s="19"/>
      <c r="V39" s="19"/>
      <c r="W39" s="19"/>
      <c r="X39" s="19"/>
      <c r="Y39" s="45"/>
      <c r="Z39" s="45"/>
      <c r="AA39" s="69"/>
      <c r="AB39" s="68"/>
      <c r="AC39" s="45"/>
      <c r="AD39" s="69"/>
      <c r="AE39" s="61"/>
      <c r="AF39" s="62"/>
      <c r="AG39" s="62"/>
      <c r="AH39" s="62"/>
      <c r="AI39" s="62"/>
      <c r="AJ39" s="63"/>
      <c r="AK39" s="45"/>
      <c r="AL39" s="45"/>
      <c r="AM39" s="45"/>
      <c r="AN39" s="45"/>
      <c r="AO39" s="19"/>
      <c r="AP39" s="19"/>
      <c r="AQ39" s="19"/>
      <c r="AR39" s="19"/>
      <c r="AS39" s="19"/>
      <c r="AT39" s="19"/>
      <c r="AU39" s="19"/>
      <c r="AV39" s="19"/>
      <c r="AW39" s="19"/>
      <c r="AX39" s="19"/>
    </row>
    <row r="40" spans="1:50" ht="15" customHeight="1" x14ac:dyDescent="0.25">
      <c r="A40" s="20"/>
      <c r="B40" s="20"/>
      <c r="C40" s="20"/>
      <c r="D40" s="20"/>
      <c r="E40" s="20"/>
      <c r="F40" s="19"/>
      <c r="G40" s="19"/>
      <c r="H40" s="19"/>
      <c r="I40" s="19"/>
      <c r="J40" s="19"/>
      <c r="K40" s="19"/>
      <c r="L40" s="19"/>
      <c r="M40" s="19"/>
      <c r="N40" s="19"/>
      <c r="O40" s="19"/>
      <c r="P40" s="19"/>
      <c r="Q40" s="19"/>
      <c r="R40" s="19"/>
      <c r="S40" s="19"/>
      <c r="T40" s="19"/>
      <c r="U40" s="19"/>
      <c r="V40" s="19"/>
      <c r="W40" s="19"/>
      <c r="X40" s="19"/>
      <c r="Y40" s="43" t="str">
        <f>Graficos!U27</f>
        <v>CLI-041</v>
      </c>
      <c r="Z40" s="43"/>
      <c r="AA40" s="65"/>
      <c r="AB40" s="64">
        <f>Graficos!X27</f>
        <v>2.1166666666666667</v>
      </c>
      <c r="AC40" s="43"/>
      <c r="AD40" s="65"/>
      <c r="AE40" s="55">
        <f>Graficos!W27</f>
        <v>0</v>
      </c>
      <c r="AF40" s="56"/>
      <c r="AG40" s="56"/>
      <c r="AH40" s="56"/>
      <c r="AI40" s="56"/>
      <c r="AJ40" s="57"/>
      <c r="AK40" s="43" t="str">
        <f>Graficos!V27</f>
        <v>Media</v>
      </c>
      <c r="AL40" s="43"/>
      <c r="AM40" s="43"/>
      <c r="AN40" s="43"/>
      <c r="AO40" s="19"/>
      <c r="AP40" s="19"/>
      <c r="AQ40" s="19"/>
      <c r="AR40" s="19"/>
      <c r="AS40" s="19"/>
      <c r="AT40" s="19"/>
      <c r="AU40" s="19"/>
      <c r="AV40" s="19"/>
      <c r="AW40" s="19"/>
      <c r="AX40" s="19"/>
    </row>
    <row r="41" spans="1:50" ht="15" customHeight="1" x14ac:dyDescent="0.25">
      <c r="A41" s="20"/>
      <c r="B41" s="20"/>
      <c r="C41" s="20"/>
      <c r="D41" s="20"/>
      <c r="E41" s="20"/>
      <c r="F41" s="19"/>
      <c r="G41" s="19"/>
      <c r="H41" s="19"/>
      <c r="I41" s="19"/>
      <c r="J41" s="19"/>
      <c r="K41" s="19"/>
      <c r="L41" s="19"/>
      <c r="M41" s="19"/>
      <c r="N41" s="19"/>
      <c r="O41" s="19"/>
      <c r="P41" s="19"/>
      <c r="Q41" s="19"/>
      <c r="R41" s="19"/>
      <c r="S41" s="19"/>
      <c r="T41" s="19"/>
      <c r="U41" s="19"/>
      <c r="V41" s="19"/>
      <c r="W41" s="19"/>
      <c r="X41" s="19"/>
      <c r="Y41" s="44"/>
      <c r="Z41" s="44"/>
      <c r="AA41" s="67"/>
      <c r="AB41" s="66"/>
      <c r="AC41" s="44"/>
      <c r="AD41" s="67"/>
      <c r="AE41" s="58"/>
      <c r="AF41" s="59"/>
      <c r="AG41" s="59"/>
      <c r="AH41" s="59"/>
      <c r="AI41" s="59"/>
      <c r="AJ41" s="60"/>
      <c r="AK41" s="44"/>
      <c r="AL41" s="44"/>
      <c r="AM41" s="44"/>
      <c r="AN41" s="44"/>
      <c r="AO41" s="19"/>
      <c r="AP41" s="19"/>
      <c r="AQ41" s="19"/>
      <c r="AR41" s="19"/>
      <c r="AS41" s="19"/>
      <c r="AT41" s="19"/>
      <c r="AU41" s="19"/>
      <c r="AV41" s="19"/>
      <c r="AW41" s="19"/>
      <c r="AX41" s="19"/>
    </row>
    <row r="42" spans="1:50" ht="15" customHeight="1" x14ac:dyDescent="0.25">
      <c r="A42" s="20"/>
      <c r="B42" s="20"/>
      <c r="C42" s="20"/>
      <c r="D42" s="20"/>
      <c r="E42" s="20"/>
      <c r="F42" s="19"/>
      <c r="G42" s="19"/>
      <c r="H42" s="19"/>
      <c r="I42" s="19"/>
      <c r="J42" s="19"/>
      <c r="K42" s="19"/>
      <c r="L42" s="19"/>
      <c r="M42" s="19"/>
      <c r="N42" s="19"/>
      <c r="O42" s="19"/>
      <c r="P42" s="19"/>
      <c r="Q42" s="19"/>
      <c r="R42" s="19"/>
      <c r="S42" s="19"/>
      <c r="T42" s="19"/>
      <c r="U42" s="19"/>
      <c r="V42" s="19"/>
      <c r="W42" s="19"/>
      <c r="X42" s="19"/>
      <c r="Y42" s="45"/>
      <c r="Z42" s="45"/>
      <c r="AA42" s="69"/>
      <c r="AB42" s="68"/>
      <c r="AC42" s="45"/>
      <c r="AD42" s="69"/>
      <c r="AE42" s="61"/>
      <c r="AF42" s="62"/>
      <c r="AG42" s="62"/>
      <c r="AH42" s="62"/>
      <c r="AI42" s="62"/>
      <c r="AJ42" s="63"/>
      <c r="AK42" s="45"/>
      <c r="AL42" s="45"/>
      <c r="AM42" s="45"/>
      <c r="AN42" s="45"/>
      <c r="AO42" s="19"/>
      <c r="AP42" s="19"/>
      <c r="AQ42" s="19"/>
      <c r="AR42" s="19"/>
      <c r="AS42" s="19"/>
      <c r="AT42" s="19"/>
      <c r="AU42" s="19"/>
      <c r="AV42" s="19"/>
      <c r="AW42" s="19"/>
      <c r="AX42" s="19"/>
    </row>
    <row r="43" spans="1:50" ht="15" customHeight="1" x14ac:dyDescent="0.25">
      <c r="A43" s="20"/>
      <c r="B43" s="20"/>
      <c r="C43" s="20"/>
      <c r="D43" s="20"/>
      <c r="E43" s="20"/>
      <c r="F43" s="19"/>
      <c r="G43" s="19"/>
      <c r="H43" s="19"/>
      <c r="I43" s="19"/>
      <c r="J43" s="19"/>
      <c r="K43" s="19"/>
      <c r="L43" s="19"/>
      <c r="M43" s="19"/>
      <c r="N43" s="19"/>
      <c r="O43" s="19"/>
      <c r="P43" s="19"/>
      <c r="Q43" s="19"/>
      <c r="R43" s="19"/>
      <c r="S43" s="19"/>
      <c r="T43" s="19"/>
      <c r="U43" s="19"/>
      <c r="V43" s="19"/>
      <c r="W43" s="19"/>
      <c r="X43" s="19"/>
      <c r="Y43" s="43" t="str">
        <f>Graficos!U28</f>
        <v>CLI-039</v>
      </c>
      <c r="Z43" s="43"/>
      <c r="AA43" s="65"/>
      <c r="AB43" s="64">
        <f>Graficos!X28</f>
        <v>2.2333333333333334</v>
      </c>
      <c r="AC43" s="43"/>
      <c r="AD43" s="65"/>
      <c r="AE43" s="46" t="str">
        <f>Graficos!W28</f>
        <v>Escalonamiento automático: revisar DD Reforzada</v>
      </c>
      <c r="AF43" s="47"/>
      <c r="AG43" s="47"/>
      <c r="AH43" s="47"/>
      <c r="AI43" s="47"/>
      <c r="AJ43" s="48"/>
      <c r="AK43" s="43" t="str">
        <f>Graficos!V28</f>
        <v>Reforzada</v>
      </c>
      <c r="AL43" s="43"/>
      <c r="AM43" s="43"/>
      <c r="AN43" s="43"/>
      <c r="AO43" s="19"/>
      <c r="AP43" s="19"/>
      <c r="AQ43" s="19"/>
      <c r="AR43" s="19"/>
      <c r="AS43" s="19"/>
      <c r="AT43" s="19"/>
      <c r="AU43" s="19"/>
      <c r="AV43" s="19"/>
      <c r="AW43" s="19"/>
      <c r="AX43" s="19"/>
    </row>
    <row r="44" spans="1:50" ht="15" customHeight="1" x14ac:dyDescent="0.25">
      <c r="A44" s="20"/>
      <c r="B44" s="20"/>
      <c r="C44" s="20"/>
      <c r="D44" s="20"/>
      <c r="E44" s="20"/>
      <c r="F44" s="19"/>
      <c r="G44" s="19"/>
      <c r="H44" s="19"/>
      <c r="I44" s="19"/>
      <c r="J44" s="19"/>
      <c r="K44" s="19"/>
      <c r="L44" s="19"/>
      <c r="M44" s="19"/>
      <c r="N44" s="19"/>
      <c r="O44" s="19"/>
      <c r="P44" s="19"/>
      <c r="Q44" s="19"/>
      <c r="R44" s="19"/>
      <c r="S44" s="19"/>
      <c r="T44" s="19"/>
      <c r="U44" s="19"/>
      <c r="V44" s="19"/>
      <c r="W44" s="19"/>
      <c r="X44" s="19"/>
      <c r="Y44" s="44"/>
      <c r="Z44" s="44"/>
      <c r="AA44" s="67"/>
      <c r="AB44" s="66"/>
      <c r="AC44" s="44"/>
      <c r="AD44" s="67"/>
      <c r="AE44" s="49"/>
      <c r="AF44" s="50"/>
      <c r="AG44" s="50"/>
      <c r="AH44" s="50"/>
      <c r="AI44" s="50"/>
      <c r="AJ44" s="51"/>
      <c r="AK44" s="44"/>
      <c r="AL44" s="44"/>
      <c r="AM44" s="44"/>
      <c r="AN44" s="44"/>
      <c r="AO44" s="19"/>
      <c r="AP44" s="19"/>
      <c r="AQ44" s="19"/>
      <c r="AR44" s="19"/>
      <c r="AS44" s="19"/>
      <c r="AT44" s="19"/>
      <c r="AU44" s="19"/>
      <c r="AV44" s="19"/>
      <c r="AW44" s="19"/>
      <c r="AX44" s="19"/>
    </row>
    <row r="45" spans="1:50" ht="15" customHeight="1" x14ac:dyDescent="0.25">
      <c r="A45" s="20"/>
      <c r="B45" s="20"/>
      <c r="C45" s="20"/>
      <c r="D45" s="20"/>
      <c r="E45" s="20"/>
      <c r="F45" s="19"/>
      <c r="G45" s="19"/>
      <c r="H45" s="19"/>
      <c r="I45" s="19"/>
      <c r="J45" s="19"/>
      <c r="K45" s="19"/>
      <c r="L45" s="19"/>
      <c r="M45" s="19"/>
      <c r="N45" s="19"/>
      <c r="O45" s="19"/>
      <c r="P45" s="19"/>
      <c r="Q45" s="19"/>
      <c r="R45" s="19"/>
      <c r="S45" s="19"/>
      <c r="T45" s="19"/>
      <c r="U45" s="19"/>
      <c r="V45" s="19"/>
      <c r="W45" s="19"/>
      <c r="X45" s="19"/>
      <c r="Y45" s="45"/>
      <c r="Z45" s="45"/>
      <c r="AA45" s="69"/>
      <c r="AB45" s="68"/>
      <c r="AC45" s="45"/>
      <c r="AD45" s="69"/>
      <c r="AE45" s="52"/>
      <c r="AF45" s="53"/>
      <c r="AG45" s="53"/>
      <c r="AH45" s="53"/>
      <c r="AI45" s="53"/>
      <c r="AJ45" s="54"/>
      <c r="AK45" s="45"/>
      <c r="AL45" s="45"/>
      <c r="AM45" s="45"/>
      <c r="AN45" s="45"/>
      <c r="AO45" s="19"/>
      <c r="AP45" s="19"/>
      <c r="AQ45" s="19"/>
      <c r="AR45" s="19"/>
      <c r="AS45" s="19"/>
      <c r="AT45" s="19"/>
      <c r="AU45" s="19"/>
      <c r="AV45" s="19"/>
      <c r="AW45" s="19"/>
      <c r="AX45" s="19"/>
    </row>
    <row r="46" spans="1:50" ht="15" customHeight="1" x14ac:dyDescent="0.25">
      <c r="A46" s="20"/>
      <c r="B46" s="20"/>
      <c r="C46" s="20"/>
      <c r="D46" s="20"/>
      <c r="E46" s="20"/>
      <c r="F46" s="19"/>
      <c r="G46" s="19"/>
      <c r="H46" s="19"/>
      <c r="I46" s="19"/>
      <c r="J46" s="19"/>
      <c r="K46" s="19"/>
      <c r="L46" s="19"/>
      <c r="M46" s="19"/>
      <c r="N46" s="19"/>
      <c r="O46" s="19"/>
      <c r="P46" s="19"/>
      <c r="Q46" s="19"/>
      <c r="R46" s="19"/>
      <c r="S46" s="19"/>
      <c r="T46" s="19"/>
      <c r="U46" s="19"/>
      <c r="V46" s="19"/>
      <c r="W46" s="19"/>
      <c r="X46" s="19"/>
      <c r="Y46" s="43" t="str">
        <f>Graficos!U29</f>
        <v>CLI-038</v>
      </c>
      <c r="Z46" s="43"/>
      <c r="AA46" s="65"/>
      <c r="AB46" s="64">
        <f>Graficos!X29</f>
        <v>2.15</v>
      </c>
      <c r="AC46" s="43"/>
      <c r="AD46" s="65"/>
      <c r="AE46" s="55">
        <f>Graficos!W29</f>
        <v>0</v>
      </c>
      <c r="AF46" s="56"/>
      <c r="AG46" s="56"/>
      <c r="AH46" s="56"/>
      <c r="AI46" s="56"/>
      <c r="AJ46" s="57"/>
      <c r="AK46" s="43" t="str">
        <f>Graficos!V29</f>
        <v>Media</v>
      </c>
      <c r="AL46" s="43"/>
      <c r="AM46" s="43"/>
      <c r="AN46" s="43"/>
      <c r="AO46" s="19"/>
      <c r="AP46" s="19"/>
      <c r="AQ46" s="19"/>
      <c r="AR46" s="19"/>
      <c r="AS46" s="19"/>
      <c r="AT46" s="19"/>
      <c r="AU46" s="19"/>
      <c r="AV46" s="19"/>
      <c r="AW46" s="19"/>
      <c r="AX46" s="19"/>
    </row>
    <row r="47" spans="1:50" ht="15" customHeight="1" x14ac:dyDescent="0.25">
      <c r="A47" s="20"/>
      <c r="B47" s="20"/>
      <c r="C47" s="20"/>
      <c r="D47" s="20"/>
      <c r="E47" s="20"/>
      <c r="F47" s="19"/>
      <c r="G47" s="19"/>
      <c r="H47" s="19"/>
      <c r="I47" s="19"/>
      <c r="J47" s="19"/>
      <c r="K47" s="19"/>
      <c r="L47" s="19"/>
      <c r="M47" s="19"/>
      <c r="N47" s="19"/>
      <c r="O47" s="19"/>
      <c r="P47" s="19"/>
      <c r="Q47" s="19"/>
      <c r="R47" s="19"/>
      <c r="S47" s="19"/>
      <c r="T47" s="19"/>
      <c r="U47" s="19"/>
      <c r="V47" s="19"/>
      <c r="W47" s="19"/>
      <c r="X47" s="19"/>
      <c r="Y47" s="44"/>
      <c r="Z47" s="44"/>
      <c r="AA47" s="67"/>
      <c r="AB47" s="66"/>
      <c r="AC47" s="44"/>
      <c r="AD47" s="67"/>
      <c r="AE47" s="58"/>
      <c r="AF47" s="59"/>
      <c r="AG47" s="59"/>
      <c r="AH47" s="59"/>
      <c r="AI47" s="59"/>
      <c r="AJ47" s="60"/>
      <c r="AK47" s="44"/>
      <c r="AL47" s="44"/>
      <c r="AM47" s="44"/>
      <c r="AN47" s="44"/>
      <c r="AO47" s="19"/>
      <c r="AP47" s="19"/>
      <c r="AQ47" s="19"/>
      <c r="AR47" s="19"/>
      <c r="AS47" s="19"/>
      <c r="AT47" s="19"/>
      <c r="AU47" s="19"/>
      <c r="AV47" s="19"/>
      <c r="AW47" s="19"/>
      <c r="AX47" s="19"/>
    </row>
    <row r="48" spans="1:50" ht="15" customHeight="1" x14ac:dyDescent="0.25">
      <c r="A48" s="20"/>
      <c r="B48" s="20"/>
      <c r="C48" s="20"/>
      <c r="D48" s="20"/>
      <c r="E48" s="20"/>
      <c r="F48" s="19"/>
      <c r="G48" s="19"/>
      <c r="H48" s="19"/>
      <c r="I48" s="19"/>
      <c r="J48" s="19"/>
      <c r="K48" s="19"/>
      <c r="L48" s="19"/>
      <c r="M48" s="19"/>
      <c r="N48" s="19"/>
      <c r="O48" s="19"/>
      <c r="P48" s="19"/>
      <c r="Q48" s="19"/>
      <c r="R48" s="19"/>
      <c r="S48" s="19"/>
      <c r="T48" s="19"/>
      <c r="U48" s="19"/>
      <c r="V48" s="19"/>
      <c r="W48" s="19"/>
      <c r="X48" s="19"/>
      <c r="Y48" s="45"/>
      <c r="Z48" s="45"/>
      <c r="AA48" s="69"/>
      <c r="AB48" s="68"/>
      <c r="AC48" s="45"/>
      <c r="AD48" s="69"/>
      <c r="AE48" s="61"/>
      <c r="AF48" s="62"/>
      <c r="AG48" s="62"/>
      <c r="AH48" s="62"/>
      <c r="AI48" s="62"/>
      <c r="AJ48" s="63"/>
      <c r="AK48" s="45"/>
      <c r="AL48" s="45"/>
      <c r="AM48" s="45"/>
      <c r="AN48" s="45"/>
      <c r="AO48" s="19"/>
      <c r="AP48" s="19"/>
      <c r="AQ48" s="19"/>
      <c r="AR48" s="19"/>
      <c r="AS48" s="19"/>
      <c r="AT48" s="19"/>
      <c r="AU48" s="19"/>
      <c r="AV48" s="19"/>
      <c r="AW48" s="19"/>
      <c r="AX48" s="19"/>
    </row>
    <row r="49" spans="1:50" ht="15" customHeight="1" x14ac:dyDescent="0.25">
      <c r="A49" s="20"/>
      <c r="B49" s="20"/>
      <c r="C49" s="20"/>
      <c r="D49" s="20"/>
      <c r="E49" s="20"/>
      <c r="F49" s="19"/>
      <c r="G49" s="19"/>
      <c r="H49" s="19"/>
      <c r="I49" s="19"/>
      <c r="J49" s="19"/>
      <c r="K49" s="19"/>
      <c r="L49" s="19"/>
      <c r="M49" s="19"/>
      <c r="N49" s="19"/>
      <c r="O49" s="19"/>
      <c r="P49" s="19"/>
      <c r="Q49" s="19"/>
      <c r="R49" s="19"/>
      <c r="S49" s="19"/>
      <c r="T49" s="19"/>
      <c r="U49" s="19"/>
      <c r="V49" s="19"/>
      <c r="W49" s="19"/>
      <c r="X49" s="19"/>
      <c r="Y49" s="43" t="str">
        <f>Graficos!U30</f>
        <v>CLI-024</v>
      </c>
      <c r="Z49" s="43"/>
      <c r="AA49" s="65"/>
      <c r="AB49" s="64">
        <f>Graficos!X30</f>
        <v>2.1166666666666667</v>
      </c>
      <c r="AC49" s="43"/>
      <c r="AD49" s="65"/>
      <c r="AE49" s="55">
        <f>Graficos!W30</f>
        <v>0</v>
      </c>
      <c r="AF49" s="56"/>
      <c r="AG49" s="56"/>
      <c r="AH49" s="56"/>
      <c r="AI49" s="56"/>
      <c r="AJ49" s="57"/>
      <c r="AK49" s="43" t="str">
        <f>Graficos!V30</f>
        <v>Media</v>
      </c>
      <c r="AL49" s="43"/>
      <c r="AM49" s="43"/>
      <c r="AN49" s="43"/>
      <c r="AO49" s="19"/>
      <c r="AP49" s="19"/>
      <c r="AQ49" s="19"/>
      <c r="AR49" s="19"/>
      <c r="AS49" s="19"/>
      <c r="AT49" s="19"/>
      <c r="AU49" s="19"/>
      <c r="AV49" s="19"/>
      <c r="AW49" s="19"/>
      <c r="AX49" s="19"/>
    </row>
    <row r="50" spans="1:50" ht="15" customHeight="1" x14ac:dyDescent="0.25">
      <c r="A50" s="20"/>
      <c r="B50" s="20"/>
      <c r="C50" s="20"/>
      <c r="D50" s="20"/>
      <c r="E50" s="20"/>
      <c r="F50" s="19"/>
      <c r="G50" s="19"/>
      <c r="H50" s="19"/>
      <c r="I50" s="19"/>
      <c r="J50" s="19"/>
      <c r="K50" s="19"/>
      <c r="L50" s="19"/>
      <c r="M50" s="19"/>
      <c r="N50" s="19"/>
      <c r="O50" s="19"/>
      <c r="P50" s="19"/>
      <c r="Q50" s="19"/>
      <c r="R50" s="19"/>
      <c r="S50" s="19"/>
      <c r="T50" s="19"/>
      <c r="U50" s="19"/>
      <c r="V50" s="19"/>
      <c r="W50" s="19"/>
      <c r="X50" s="19"/>
      <c r="Y50" s="44"/>
      <c r="Z50" s="44"/>
      <c r="AA50" s="67"/>
      <c r="AB50" s="66"/>
      <c r="AC50" s="44"/>
      <c r="AD50" s="67"/>
      <c r="AE50" s="58"/>
      <c r="AF50" s="59"/>
      <c r="AG50" s="59"/>
      <c r="AH50" s="59"/>
      <c r="AI50" s="59"/>
      <c r="AJ50" s="60"/>
      <c r="AK50" s="44"/>
      <c r="AL50" s="44"/>
      <c r="AM50" s="44"/>
      <c r="AN50" s="44"/>
      <c r="AO50" s="19"/>
      <c r="AP50" s="19"/>
      <c r="AQ50" s="19"/>
      <c r="AR50" s="19"/>
      <c r="AS50" s="19"/>
      <c r="AT50" s="19"/>
      <c r="AU50" s="19"/>
      <c r="AV50" s="19"/>
      <c r="AW50" s="19"/>
      <c r="AX50" s="19"/>
    </row>
    <row r="51" spans="1:50" ht="15" customHeight="1" x14ac:dyDescent="0.25">
      <c r="A51" s="20"/>
      <c r="B51" s="20"/>
      <c r="C51" s="20"/>
      <c r="D51" s="20"/>
      <c r="E51" s="20"/>
      <c r="F51" s="19"/>
      <c r="G51" s="19"/>
      <c r="H51" s="19"/>
      <c r="I51" s="19"/>
      <c r="J51" s="19"/>
      <c r="K51" s="19"/>
      <c r="L51" s="19"/>
      <c r="M51" s="19"/>
      <c r="N51" s="19"/>
      <c r="O51" s="19"/>
      <c r="P51" s="19"/>
      <c r="Q51" s="19"/>
      <c r="R51" s="19"/>
      <c r="S51" s="19"/>
      <c r="T51" s="19"/>
      <c r="U51" s="19"/>
      <c r="V51" s="19"/>
      <c r="W51" s="19"/>
      <c r="X51" s="19"/>
      <c r="Y51" s="45"/>
      <c r="Z51" s="45"/>
      <c r="AA51" s="69"/>
      <c r="AB51" s="68"/>
      <c r="AC51" s="45"/>
      <c r="AD51" s="69"/>
      <c r="AE51" s="61"/>
      <c r="AF51" s="62"/>
      <c r="AG51" s="62"/>
      <c r="AH51" s="62"/>
      <c r="AI51" s="62"/>
      <c r="AJ51" s="63"/>
      <c r="AK51" s="45"/>
      <c r="AL51" s="45"/>
      <c r="AM51" s="45"/>
      <c r="AN51" s="45"/>
      <c r="AO51" s="19"/>
      <c r="AP51" s="19"/>
      <c r="AQ51" s="19"/>
      <c r="AR51" s="19"/>
      <c r="AS51" s="19"/>
      <c r="AT51" s="19"/>
      <c r="AU51" s="19"/>
      <c r="AV51" s="19"/>
      <c r="AW51" s="19"/>
      <c r="AX51" s="19"/>
    </row>
    <row r="52" spans="1:50" ht="15" customHeight="1" x14ac:dyDescent="0.25">
      <c r="A52" s="20"/>
      <c r="B52" s="20"/>
      <c r="C52" s="20"/>
      <c r="D52" s="20"/>
      <c r="E52" s="20"/>
      <c r="F52" s="19"/>
      <c r="G52" s="19"/>
      <c r="H52" s="19"/>
      <c r="I52" s="19"/>
      <c r="J52" s="19"/>
      <c r="K52" s="19"/>
      <c r="L52" s="19"/>
      <c r="M52" s="19"/>
      <c r="N52" s="19"/>
      <c r="O52" s="19"/>
      <c r="P52" s="19"/>
      <c r="Q52" s="19"/>
      <c r="R52" s="19"/>
      <c r="S52" s="19"/>
      <c r="T52" s="19"/>
      <c r="U52" s="19"/>
      <c r="V52" s="19"/>
      <c r="W52" s="19"/>
      <c r="X52" s="19"/>
      <c r="Y52" s="43" t="str">
        <f>Graficos!U31</f>
        <v>CLI-023</v>
      </c>
      <c r="Z52" s="43"/>
      <c r="AA52" s="65"/>
      <c r="AB52" s="64">
        <f>Graficos!X31</f>
        <v>2.1166666666666667</v>
      </c>
      <c r="AC52" s="43"/>
      <c r="AD52" s="65"/>
      <c r="AE52" s="55">
        <f>Graficos!W31</f>
        <v>0</v>
      </c>
      <c r="AF52" s="56"/>
      <c r="AG52" s="56"/>
      <c r="AH52" s="56"/>
      <c r="AI52" s="56"/>
      <c r="AJ52" s="57"/>
      <c r="AK52" s="43" t="str">
        <f>Graficos!V31</f>
        <v>Media</v>
      </c>
      <c r="AL52" s="43"/>
      <c r="AM52" s="43"/>
      <c r="AN52" s="43"/>
      <c r="AO52" s="19"/>
      <c r="AP52" s="19"/>
      <c r="AQ52" s="19"/>
      <c r="AR52" s="19"/>
      <c r="AS52" s="19"/>
      <c r="AT52" s="19"/>
      <c r="AU52" s="19"/>
      <c r="AV52" s="19"/>
      <c r="AW52" s="19"/>
      <c r="AX52" s="19"/>
    </row>
    <row r="53" spans="1:50" ht="15" customHeight="1" x14ac:dyDescent="0.25">
      <c r="A53" s="20"/>
      <c r="B53" s="20"/>
      <c r="C53" s="20"/>
      <c r="D53" s="20"/>
      <c r="E53" s="20"/>
      <c r="F53" s="19"/>
      <c r="G53" s="19"/>
      <c r="H53" s="19"/>
      <c r="I53" s="19"/>
      <c r="J53" s="19"/>
      <c r="K53" s="19"/>
      <c r="L53" s="19"/>
      <c r="M53" s="19"/>
      <c r="N53" s="19"/>
      <c r="O53" s="19"/>
      <c r="P53" s="19"/>
      <c r="Q53" s="19"/>
      <c r="R53" s="19"/>
      <c r="S53" s="19"/>
      <c r="T53" s="19"/>
      <c r="U53" s="19"/>
      <c r="V53" s="19"/>
      <c r="W53" s="19"/>
      <c r="X53" s="19"/>
      <c r="Y53" s="44"/>
      <c r="Z53" s="44"/>
      <c r="AA53" s="67"/>
      <c r="AB53" s="66"/>
      <c r="AC53" s="44"/>
      <c r="AD53" s="67"/>
      <c r="AE53" s="58"/>
      <c r="AF53" s="59"/>
      <c r="AG53" s="59"/>
      <c r="AH53" s="59"/>
      <c r="AI53" s="59"/>
      <c r="AJ53" s="60"/>
      <c r="AK53" s="44"/>
      <c r="AL53" s="44"/>
      <c r="AM53" s="44"/>
      <c r="AN53" s="44"/>
      <c r="AO53" s="19"/>
      <c r="AP53" s="19"/>
      <c r="AQ53" s="19"/>
      <c r="AR53" s="19"/>
      <c r="AS53" s="19"/>
      <c r="AT53" s="19"/>
      <c r="AU53" s="19"/>
      <c r="AV53" s="19"/>
      <c r="AW53" s="19"/>
      <c r="AX53" s="19"/>
    </row>
    <row r="54" spans="1:50" ht="15" customHeight="1" x14ac:dyDescent="0.25">
      <c r="A54" s="20"/>
      <c r="B54" s="20"/>
      <c r="C54" s="20"/>
      <c r="D54" s="20"/>
      <c r="E54" s="20"/>
      <c r="F54" s="19"/>
      <c r="G54" s="19"/>
      <c r="H54" s="19"/>
      <c r="I54" s="19"/>
      <c r="J54" s="19"/>
      <c r="K54" s="19"/>
      <c r="L54" s="19"/>
      <c r="M54" s="19"/>
      <c r="N54" s="19"/>
      <c r="O54" s="19"/>
      <c r="P54" s="19"/>
      <c r="Q54" s="19"/>
      <c r="R54" s="19"/>
      <c r="S54" s="19"/>
      <c r="T54" s="19"/>
      <c r="U54" s="19"/>
      <c r="V54" s="19"/>
      <c r="W54" s="19"/>
      <c r="X54" s="19"/>
      <c r="Y54" s="45"/>
      <c r="Z54" s="45"/>
      <c r="AA54" s="69"/>
      <c r="AB54" s="68"/>
      <c r="AC54" s="45"/>
      <c r="AD54" s="69"/>
      <c r="AE54" s="61"/>
      <c r="AF54" s="62"/>
      <c r="AG54" s="62"/>
      <c r="AH54" s="62"/>
      <c r="AI54" s="62"/>
      <c r="AJ54" s="63"/>
      <c r="AK54" s="45"/>
      <c r="AL54" s="45"/>
      <c r="AM54" s="45"/>
      <c r="AN54" s="45"/>
      <c r="AO54" s="19"/>
      <c r="AP54" s="19"/>
      <c r="AQ54" s="19"/>
      <c r="AR54" s="19"/>
      <c r="AS54" s="19"/>
      <c r="AT54" s="19"/>
      <c r="AU54" s="19"/>
      <c r="AV54" s="19"/>
      <c r="AW54" s="19"/>
      <c r="AX54" s="19"/>
    </row>
    <row r="55" spans="1:50" x14ac:dyDescent="0.25">
      <c r="A55" s="20"/>
      <c r="B55" s="20"/>
      <c r="C55" s="20"/>
      <c r="D55" s="20"/>
      <c r="E55" s="20"/>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row>
    <row r="56" spans="1:50" x14ac:dyDescent="0.25">
      <c r="A56" s="20"/>
      <c r="B56" s="20"/>
      <c r="C56" s="20"/>
      <c r="D56" s="20"/>
      <c r="E56" s="20"/>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row>
    <row r="57" spans="1:50" x14ac:dyDescent="0.25">
      <c r="A57" s="20"/>
      <c r="B57" s="20"/>
      <c r="C57" s="20"/>
      <c r="D57" s="20"/>
      <c r="E57" s="20"/>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row>
    <row r="58" spans="1:50" x14ac:dyDescent="0.25">
      <c r="A58" s="20"/>
      <c r="B58" s="20"/>
      <c r="C58" s="20"/>
      <c r="D58" s="20"/>
      <c r="E58" s="20"/>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row>
    <row r="59" spans="1:50" x14ac:dyDescent="0.25">
      <c r="A59" s="20"/>
      <c r="B59" s="20"/>
      <c r="C59" s="20"/>
      <c r="D59" s="20"/>
      <c r="E59" s="20"/>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row>
    <row r="60" spans="1:50" x14ac:dyDescent="0.25">
      <c r="A60" s="20"/>
      <c r="B60" s="20"/>
      <c r="C60" s="20"/>
      <c r="D60" s="20"/>
      <c r="E60" s="20"/>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row>
    <row r="61" spans="1:50" x14ac:dyDescent="0.25">
      <c r="A61" s="20"/>
      <c r="B61" s="20"/>
      <c r="C61" s="20"/>
      <c r="D61" s="20"/>
      <c r="E61" s="20"/>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row>
    <row r="62" spans="1:50" x14ac:dyDescent="0.25">
      <c r="A62" s="20"/>
      <c r="B62" s="20"/>
      <c r="C62" s="20"/>
      <c r="D62" s="20"/>
      <c r="E62" s="20"/>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row>
    <row r="63" spans="1:50" x14ac:dyDescent="0.25">
      <c r="A63" s="20"/>
      <c r="B63" s="20"/>
      <c r="C63" s="20"/>
      <c r="D63" s="20"/>
      <c r="E63" s="20"/>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row>
    <row r="64" spans="1:50" x14ac:dyDescent="0.25">
      <c r="A64" s="20"/>
      <c r="B64" s="20"/>
      <c r="C64" s="20"/>
      <c r="D64" s="20"/>
      <c r="E64" s="20"/>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row>
    <row r="65" spans="1:50" x14ac:dyDescent="0.25">
      <c r="A65" s="20"/>
      <c r="B65" s="20"/>
      <c r="C65" s="20"/>
      <c r="D65" s="20"/>
      <c r="E65" s="20"/>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row>
    <row r="66" spans="1:50" x14ac:dyDescent="0.25">
      <c r="A66" s="20"/>
      <c r="B66" s="20"/>
      <c r="C66" s="20"/>
      <c r="D66" s="20"/>
      <c r="E66" s="20"/>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row>
  </sheetData>
  <mergeCells count="47">
    <mergeCell ref="A3:E5"/>
    <mergeCell ref="A9:E10"/>
    <mergeCell ref="Y21:AA24"/>
    <mergeCell ref="Y25:AA27"/>
    <mergeCell ref="A6:E8"/>
    <mergeCell ref="Y52:AA54"/>
    <mergeCell ref="AB21:AD24"/>
    <mergeCell ref="AE21:AJ24"/>
    <mergeCell ref="AK21:AN24"/>
    <mergeCell ref="AB52:AD54"/>
    <mergeCell ref="AB40:AD42"/>
    <mergeCell ref="AB43:AD45"/>
    <mergeCell ref="AB46:AD48"/>
    <mergeCell ref="AB49:AD51"/>
    <mergeCell ref="Y28:AA30"/>
    <mergeCell ref="Y31:AA33"/>
    <mergeCell ref="Y34:AA36"/>
    <mergeCell ref="Y37:AA39"/>
    <mergeCell ref="Y40:AA42"/>
    <mergeCell ref="Y43:AA45"/>
    <mergeCell ref="Y46:AA48"/>
    <mergeCell ref="Y49:AA51"/>
    <mergeCell ref="AB25:AD27"/>
    <mergeCell ref="AB28:AD30"/>
    <mergeCell ref="AB31:AD33"/>
    <mergeCell ref="AB34:AD36"/>
    <mergeCell ref="AB37:AD39"/>
    <mergeCell ref="AE43:AJ45"/>
    <mergeCell ref="AE46:AJ48"/>
    <mergeCell ref="AE49:AJ51"/>
    <mergeCell ref="AE52:AJ54"/>
    <mergeCell ref="AK25:AN27"/>
    <mergeCell ref="AK28:AN30"/>
    <mergeCell ref="AK31:AN33"/>
    <mergeCell ref="AK34:AN36"/>
    <mergeCell ref="AK37:AN39"/>
    <mergeCell ref="AE25:AJ27"/>
    <mergeCell ref="AE28:AJ30"/>
    <mergeCell ref="AE31:AJ33"/>
    <mergeCell ref="AE34:AJ36"/>
    <mergeCell ref="AE37:AJ39"/>
    <mergeCell ref="AE40:AJ42"/>
    <mergeCell ref="AK40:AN42"/>
    <mergeCell ref="AK43:AN45"/>
    <mergeCell ref="AK46:AN48"/>
    <mergeCell ref="AK49:AN51"/>
    <mergeCell ref="AK52:AN54"/>
  </mergeCells>
  <conditionalFormatting sqref="AB25:AD54">
    <cfRule type="cellIs" dxfId="2" priority="3" operator="greaterThan">
      <formula>2.31</formula>
    </cfRule>
  </conditionalFormatting>
  <conditionalFormatting sqref="AK25:AN54">
    <cfRule type="containsText" dxfId="1" priority="1" operator="containsText" text="Media">
      <formula>NOT(ISERROR(SEARCH("Media",AK25)))</formula>
    </cfRule>
    <cfRule type="containsText" dxfId="0" priority="2" operator="containsText" text="Reforzada">
      <formula>NOT(ISERROR(SEARCH("Reforzada",AK25)))</formula>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5BC6E-3B57-4015-B9CE-98C76AF769BA}">
  <dimension ref="A1:X32"/>
  <sheetViews>
    <sheetView topLeftCell="S12" zoomScale="80" zoomScaleNormal="80" workbookViewId="0">
      <selection activeCell="U41" sqref="U41"/>
    </sheetView>
  </sheetViews>
  <sheetFormatPr defaultRowHeight="15" x14ac:dyDescent="0.25"/>
  <cols>
    <col min="8" max="8" width="20.140625" bestFit="1" customWidth="1"/>
    <col min="9" max="9" width="10.140625" bestFit="1" customWidth="1"/>
    <col min="12" max="12" width="20.140625" bestFit="1" customWidth="1"/>
    <col min="13" max="13" width="17.42578125" bestFit="1" customWidth="1"/>
    <col min="14" max="14" width="6" bestFit="1" customWidth="1"/>
    <col min="15" max="15" width="10.7109375" bestFit="1" customWidth="1"/>
    <col min="16" max="16" width="11.28515625" bestFit="1" customWidth="1"/>
    <col min="17" max="17" width="20.140625" bestFit="1" customWidth="1"/>
    <col min="18" max="18" width="8.42578125" bestFit="1" customWidth="1"/>
    <col min="20" max="20" width="20.140625" bestFit="1" customWidth="1"/>
    <col min="21" max="21" width="8.5703125" bestFit="1" customWidth="1"/>
    <col min="22" max="22" width="14.140625" bestFit="1" customWidth="1"/>
    <col min="23" max="23" width="46.42578125" bestFit="1" customWidth="1"/>
    <col min="24" max="24" width="22.42578125" bestFit="1" customWidth="1"/>
    <col min="25" max="25" width="11.28515625" bestFit="1" customWidth="1"/>
    <col min="26" max="26" width="9" bestFit="1" customWidth="1"/>
    <col min="27" max="27" width="12" bestFit="1" customWidth="1"/>
    <col min="28" max="28" width="11.28515625" bestFit="1" customWidth="1"/>
    <col min="29" max="71" width="8.140625" bestFit="1" customWidth="1"/>
    <col min="72" max="72" width="11.28515625" bestFit="1" customWidth="1"/>
  </cols>
  <sheetData>
    <row r="1" spans="1:23" x14ac:dyDescent="0.25">
      <c r="A1" s="82" t="s">
        <v>170</v>
      </c>
      <c r="B1" s="83"/>
      <c r="C1" s="84"/>
      <c r="T1" s="31" t="s">
        <v>134</v>
      </c>
      <c r="U1" t="s">
        <v>102</v>
      </c>
    </row>
    <row r="2" spans="1:23" ht="15.75" thickBot="1" x14ac:dyDescent="0.3">
      <c r="A2" s="85">
        <f>GETPIVOTDATA("ID_CLIENTE",$T$3)</f>
        <v>19</v>
      </c>
      <c r="B2" s="86"/>
      <c r="C2" s="87"/>
    </row>
    <row r="3" spans="1:23" ht="15.75" thickBot="1" x14ac:dyDescent="0.3">
      <c r="T3" t="s">
        <v>173</v>
      </c>
    </row>
    <row r="4" spans="1:23" x14ac:dyDescent="0.25">
      <c r="A4" s="82" t="s">
        <v>171</v>
      </c>
      <c r="B4" s="83"/>
      <c r="C4" s="84"/>
      <c r="T4">
        <v>19</v>
      </c>
    </row>
    <row r="5" spans="1:23" ht="15.75" thickBot="1" x14ac:dyDescent="0.3">
      <c r="A5" s="85">
        <f>GETPIVOTDATA("ID_CLIENTE",$H$13)</f>
        <v>17</v>
      </c>
      <c r="B5" s="86"/>
      <c r="C5" s="87"/>
    </row>
    <row r="6" spans="1:23" ht="15.75" thickBot="1" x14ac:dyDescent="0.3"/>
    <row r="7" spans="1:23" x14ac:dyDescent="0.25">
      <c r="A7" s="82" t="s">
        <v>169</v>
      </c>
      <c r="B7" s="83"/>
      <c r="C7" s="84"/>
    </row>
    <row r="8" spans="1:23" ht="15.75" thickBot="1" x14ac:dyDescent="0.3">
      <c r="A8" s="85">
        <f>GETPIVOTDATA("ID_CLIENTE",$Q$18)</f>
        <v>14</v>
      </c>
      <c r="B8" s="86"/>
      <c r="C8" s="87"/>
    </row>
    <row r="9" spans="1:23" ht="15.75" thickBot="1" x14ac:dyDescent="0.3"/>
    <row r="10" spans="1:23" x14ac:dyDescent="0.25">
      <c r="A10" s="82" t="s">
        <v>172</v>
      </c>
      <c r="B10" s="83"/>
      <c r="C10" s="84"/>
    </row>
    <row r="11" spans="1:23" ht="15.75" thickBot="1" x14ac:dyDescent="0.3">
      <c r="A11" s="85">
        <f>A2+A5+A8</f>
        <v>50</v>
      </c>
      <c r="B11" s="86"/>
      <c r="C11" s="87"/>
      <c r="H11" s="31" t="s">
        <v>134</v>
      </c>
      <c r="I11" t="s">
        <v>106</v>
      </c>
      <c r="V11" s="31" t="s">
        <v>177</v>
      </c>
      <c r="W11" t="s">
        <v>173</v>
      </c>
    </row>
    <row r="12" spans="1:23" x14ac:dyDescent="0.25">
      <c r="V12" s="32" t="s">
        <v>110</v>
      </c>
      <c r="W12" s="33">
        <v>0.28000000000000003</v>
      </c>
    </row>
    <row r="13" spans="1:23" x14ac:dyDescent="0.25">
      <c r="H13" t="s">
        <v>173</v>
      </c>
      <c r="V13" s="32" t="s">
        <v>102</v>
      </c>
      <c r="W13" s="33">
        <v>0.38</v>
      </c>
    </row>
    <row r="14" spans="1:23" x14ac:dyDescent="0.25">
      <c r="H14">
        <v>17</v>
      </c>
      <c r="L14" s="31" t="s">
        <v>173</v>
      </c>
      <c r="M14" s="31" t="s">
        <v>175</v>
      </c>
      <c r="V14" s="32" t="s">
        <v>106</v>
      </c>
      <c r="W14" s="33">
        <v>0.34</v>
      </c>
    </row>
    <row r="15" spans="1:23" x14ac:dyDescent="0.25">
      <c r="L15" s="31" t="s">
        <v>177</v>
      </c>
      <c r="M15" t="s">
        <v>153</v>
      </c>
      <c r="N15" t="s">
        <v>147</v>
      </c>
      <c r="O15" t="s">
        <v>143</v>
      </c>
      <c r="P15" t="s">
        <v>176</v>
      </c>
      <c r="V15" s="32" t="s">
        <v>176</v>
      </c>
      <c r="W15" s="33">
        <v>1</v>
      </c>
    </row>
    <row r="16" spans="1:23" x14ac:dyDescent="0.25">
      <c r="L16" s="32" t="s">
        <v>110</v>
      </c>
      <c r="M16">
        <v>5</v>
      </c>
      <c r="N16">
        <v>6</v>
      </c>
      <c r="O16">
        <v>3</v>
      </c>
      <c r="P16">
        <v>14</v>
      </c>
      <c r="Q16" s="31" t="s">
        <v>134</v>
      </c>
      <c r="R16" t="s">
        <v>110</v>
      </c>
    </row>
    <row r="17" spans="12:24" x14ac:dyDescent="0.25">
      <c r="L17" s="32" t="s">
        <v>102</v>
      </c>
      <c r="O17">
        <v>19</v>
      </c>
      <c r="P17">
        <v>19</v>
      </c>
    </row>
    <row r="18" spans="12:24" ht="15.75" thickBot="1" x14ac:dyDescent="0.3">
      <c r="L18" s="32" t="s">
        <v>106</v>
      </c>
      <c r="M18">
        <v>11</v>
      </c>
      <c r="N18">
        <v>6</v>
      </c>
      <c r="P18">
        <v>17</v>
      </c>
      <c r="Q18" t="s">
        <v>174</v>
      </c>
    </row>
    <row r="19" spans="12:24" x14ac:dyDescent="0.25">
      <c r="L19" s="32" t="s">
        <v>176</v>
      </c>
      <c r="M19">
        <v>16</v>
      </c>
      <c r="N19">
        <v>12</v>
      </c>
      <c r="O19">
        <v>22</v>
      </c>
      <c r="P19">
        <v>50</v>
      </c>
      <c r="Q19">
        <v>14</v>
      </c>
      <c r="U19" s="76" t="s">
        <v>182</v>
      </c>
      <c r="V19" s="77"/>
      <c r="W19" s="77"/>
      <c r="X19" s="78"/>
    </row>
    <row r="20" spans="12:24" ht="15.75" thickBot="1" x14ac:dyDescent="0.3">
      <c r="U20" s="79"/>
      <c r="V20" s="80"/>
      <c r="W20" s="80"/>
      <c r="X20" s="81"/>
    </row>
    <row r="21" spans="12:24" x14ac:dyDescent="0.25">
      <c r="U21" s="31" t="s">
        <v>116</v>
      </c>
      <c r="V21" s="31" t="s">
        <v>135</v>
      </c>
      <c r="W21" s="31" t="s">
        <v>137</v>
      </c>
      <c r="X21" t="s">
        <v>181</v>
      </c>
    </row>
    <row r="22" spans="12:24" x14ac:dyDescent="0.25">
      <c r="U22" t="s">
        <v>49</v>
      </c>
      <c r="V22" t="s">
        <v>166</v>
      </c>
      <c r="X22" s="36">
        <v>2.4166666666666665</v>
      </c>
    </row>
    <row r="23" spans="12:24" x14ac:dyDescent="0.25">
      <c r="U23" t="s">
        <v>48</v>
      </c>
      <c r="V23" t="s">
        <v>166</v>
      </c>
      <c r="X23" s="36">
        <v>2.3166666666666664</v>
      </c>
    </row>
    <row r="24" spans="12:24" x14ac:dyDescent="0.25">
      <c r="U24" t="s">
        <v>47</v>
      </c>
      <c r="V24" t="s">
        <v>166</v>
      </c>
      <c r="X24" s="36">
        <v>2.3166666666666664</v>
      </c>
    </row>
    <row r="25" spans="12:24" x14ac:dyDescent="0.25">
      <c r="U25" t="s">
        <v>46</v>
      </c>
      <c r="V25" t="s">
        <v>166</v>
      </c>
      <c r="W25" t="s">
        <v>167</v>
      </c>
      <c r="X25" s="36">
        <v>2.5333333333333332</v>
      </c>
    </row>
    <row r="26" spans="12:24" x14ac:dyDescent="0.25">
      <c r="U26" t="s">
        <v>41</v>
      </c>
      <c r="V26" t="s">
        <v>146</v>
      </c>
      <c r="X26">
        <v>2.1166666666666667</v>
      </c>
    </row>
    <row r="27" spans="12:24" x14ac:dyDescent="0.25">
      <c r="U27" t="s">
        <v>40</v>
      </c>
      <c r="V27" t="s">
        <v>146</v>
      </c>
      <c r="X27">
        <v>2.1166666666666667</v>
      </c>
    </row>
    <row r="28" spans="12:24" x14ac:dyDescent="0.25">
      <c r="U28" t="s">
        <v>38</v>
      </c>
      <c r="V28" t="s">
        <v>166</v>
      </c>
      <c r="W28" t="s">
        <v>167</v>
      </c>
      <c r="X28" s="36">
        <v>2.2333333333333334</v>
      </c>
    </row>
    <row r="29" spans="12:24" x14ac:dyDescent="0.25">
      <c r="U29" t="s">
        <v>37</v>
      </c>
      <c r="V29" t="s">
        <v>146</v>
      </c>
      <c r="X29">
        <v>2.15</v>
      </c>
    </row>
    <row r="30" spans="12:24" x14ac:dyDescent="0.25">
      <c r="U30" t="s">
        <v>23</v>
      </c>
      <c r="V30" t="s">
        <v>146</v>
      </c>
      <c r="X30">
        <v>2.1166666666666667</v>
      </c>
    </row>
    <row r="31" spans="12:24" x14ac:dyDescent="0.25">
      <c r="U31" t="s">
        <v>22</v>
      </c>
      <c r="V31" t="s">
        <v>146</v>
      </c>
      <c r="X31">
        <v>2.1166666666666667</v>
      </c>
    </row>
    <row r="32" spans="12:24" x14ac:dyDescent="0.25">
      <c r="U32" t="s">
        <v>176</v>
      </c>
      <c r="X32">
        <v>22.433333333333334</v>
      </c>
    </row>
  </sheetData>
  <mergeCells count="9">
    <mergeCell ref="U19:X20"/>
    <mergeCell ref="A10:C10"/>
    <mergeCell ref="A11:C11"/>
    <mergeCell ref="A1:C1"/>
    <mergeCell ref="A2:C2"/>
    <mergeCell ref="A4:C4"/>
    <mergeCell ref="A5:C5"/>
    <mergeCell ref="A7:C7"/>
    <mergeCell ref="A8:C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MATRIZ_CLIENTES</vt:lpstr>
      <vt:lpstr>ESCALA_PUNTAJE</vt:lpstr>
      <vt:lpstr>RESUMEN_CARTERA</vt:lpstr>
      <vt:lpstr>Graficos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2026-03-02T15:00:12Z</dcterms:created>
  <dcterms:modified xsi:type="dcterms:W3CDTF">2026-03-07T15:05:39Z</dcterms:modified>
</cp:coreProperties>
</file>